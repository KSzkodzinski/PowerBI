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zkod\Desktop\"/>
    </mc:Choice>
  </mc:AlternateContent>
  <xr:revisionPtr revIDLastSave="0" documentId="13_ncr:1_{66FCA13B-0D86-4FDB-8E37-1CCAED61B205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1" sheetId="1" r:id="rId1"/>
    <sheet name="Food Masterdata" sheetId="2" r:id="rId2"/>
    <sheet name="Eaten food" sheetId="3" r:id="rId3"/>
  </sheets>
  <definedNames>
    <definedName name="_xlnm._FilterDatabase" localSheetId="2" hidden="1">'Eaten food'!$A$1:$E$367</definedName>
    <definedName name="_xlnm._FilterDatabase" localSheetId="1" hidden="1">'Food Masterdata'!$A$1:$AF$48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3" i="3" l="1"/>
  <c r="C574" i="3"/>
  <c r="C572" i="3"/>
  <c r="C571" i="3"/>
  <c r="C566" i="3"/>
  <c r="C570" i="3"/>
  <c r="C569" i="3"/>
  <c r="C568" i="3"/>
  <c r="C567" i="3"/>
  <c r="C565" i="3"/>
  <c r="C564" i="3"/>
  <c r="C563" i="3"/>
  <c r="C562" i="3"/>
  <c r="C561" i="3"/>
  <c r="C557" i="3"/>
  <c r="C558" i="3"/>
  <c r="C559" i="3"/>
  <c r="C560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2" i="3"/>
  <c r="C533" i="3"/>
  <c r="C534" i="3"/>
  <c r="C531" i="3"/>
  <c r="C530" i="3"/>
  <c r="C529" i="3"/>
  <c r="C528" i="3"/>
  <c r="C527" i="3"/>
  <c r="C524" i="3"/>
  <c r="C525" i="3"/>
  <c r="C526" i="3"/>
  <c r="C521" i="3"/>
  <c r="C522" i="3"/>
  <c r="C523" i="3"/>
  <c r="C517" i="3"/>
  <c r="C518" i="3"/>
  <c r="C519" i="3"/>
  <c r="C520" i="3"/>
  <c r="C515" i="3"/>
  <c r="C516" i="3"/>
  <c r="C514" i="3"/>
  <c r="C513" i="3"/>
  <c r="C509" i="3"/>
  <c r="C510" i="3"/>
  <c r="C511" i="3"/>
  <c r="C512" i="3"/>
  <c r="C508" i="3"/>
  <c r="C507" i="3"/>
  <c r="C506" i="3"/>
  <c r="C505" i="3"/>
  <c r="C501" i="3"/>
  <c r="C502" i="3"/>
  <c r="C503" i="3"/>
  <c r="C504" i="3"/>
  <c r="C500" i="3"/>
  <c r="C499" i="3"/>
  <c r="C497" i="3"/>
  <c r="C498" i="3"/>
  <c r="C496" i="3"/>
  <c r="C495" i="3"/>
  <c r="C494" i="3"/>
  <c r="C493" i="3"/>
  <c r="C492" i="3"/>
  <c r="C491" i="3"/>
  <c r="C490" i="3"/>
  <c r="C486" i="3"/>
  <c r="C487" i="3"/>
  <c r="C488" i="3"/>
  <c r="C489" i="3"/>
  <c r="C485" i="3"/>
  <c r="C479" i="3"/>
  <c r="C480" i="3"/>
  <c r="C481" i="3"/>
  <c r="C482" i="3"/>
  <c r="C483" i="3"/>
  <c r="C484" i="3"/>
  <c r="C478" i="3"/>
  <c r="C477" i="3"/>
  <c r="C476" i="3"/>
  <c r="C475" i="3"/>
  <c r="C474" i="3"/>
  <c r="C473" i="3"/>
  <c r="C472" i="3"/>
  <c r="C467" i="3"/>
  <c r="C468" i="3"/>
  <c r="C469" i="3"/>
  <c r="C470" i="3"/>
  <c r="C471" i="3"/>
  <c r="C466" i="3"/>
  <c r="C465" i="3"/>
  <c r="C459" i="3"/>
  <c r="C460" i="3"/>
  <c r="C461" i="3"/>
  <c r="C462" i="3"/>
  <c r="C463" i="3"/>
  <c r="C464" i="3"/>
  <c r="C458" i="3"/>
  <c r="C449" i="3"/>
  <c r="C450" i="3"/>
  <c r="C451" i="3"/>
  <c r="C452" i="3"/>
  <c r="C453" i="3"/>
  <c r="C454" i="3"/>
  <c r="C455" i="3"/>
  <c r="C456" i="3"/>
  <c r="C457" i="3"/>
  <c r="C448" i="3"/>
  <c r="C447" i="3"/>
  <c r="C446" i="3"/>
  <c r="C444" i="3"/>
  <c r="C445" i="3"/>
  <c r="C438" i="3"/>
  <c r="C443" i="3"/>
  <c r="C442" i="3"/>
  <c r="C441" i="3"/>
  <c r="C440" i="3"/>
  <c r="C439" i="3"/>
  <c r="C432" i="3"/>
  <c r="C433" i="3"/>
  <c r="C434" i="3"/>
  <c r="C435" i="3"/>
  <c r="C436" i="3"/>
  <c r="C437" i="3"/>
  <c r="C431" i="3"/>
  <c r="C430" i="3"/>
  <c r="C429" i="3"/>
  <c r="C422" i="3"/>
  <c r="C428" i="3"/>
  <c r="C427" i="3"/>
  <c r="C423" i="3"/>
  <c r="C424" i="3"/>
  <c r="C425" i="3"/>
  <c r="C426" i="3"/>
  <c r="C420" i="3"/>
  <c r="C421" i="3"/>
  <c r="C417" i="3"/>
  <c r="C418" i="3"/>
  <c r="C419" i="3"/>
  <c r="C414" i="3"/>
  <c r="C415" i="3"/>
  <c r="C416" i="3"/>
  <c r="C406" i="3"/>
  <c r="C407" i="3"/>
  <c r="C408" i="3"/>
  <c r="C409" i="3"/>
  <c r="C410" i="3"/>
  <c r="C411" i="3"/>
  <c r="C412" i="3"/>
  <c r="C413" i="3"/>
  <c r="C405" i="3"/>
  <c r="C404" i="3"/>
  <c r="C396" i="3"/>
  <c r="C397" i="3"/>
  <c r="C398" i="3"/>
  <c r="C399" i="3"/>
  <c r="C400" i="3"/>
  <c r="C401" i="3"/>
  <c r="C402" i="3"/>
  <c r="C403" i="3"/>
  <c r="C390" i="3"/>
  <c r="C391" i="3"/>
  <c r="C392" i="3"/>
  <c r="C393" i="3"/>
  <c r="C394" i="3"/>
  <c r="C395" i="3"/>
  <c r="C389" i="3"/>
  <c r="C386" i="3"/>
  <c r="C387" i="3"/>
  <c r="C388" i="3"/>
  <c r="C385" i="3"/>
  <c r="C384" i="3"/>
  <c r="C383" i="3"/>
  <c r="C382" i="3"/>
  <c r="C381" i="3"/>
  <c r="C380" i="3"/>
  <c r="C376" i="3"/>
  <c r="C377" i="3"/>
  <c r="C378" i="3"/>
  <c r="C379" i="3"/>
  <c r="C374" i="3"/>
  <c r="C375" i="3"/>
  <c r="C373" i="3"/>
  <c r="C372" i="3"/>
  <c r="C369" i="3"/>
  <c r="C370" i="3"/>
  <c r="C371" i="3"/>
  <c r="C368" i="3"/>
  <c r="C358" i="3"/>
  <c r="C359" i="3"/>
  <c r="C360" i="3"/>
  <c r="C361" i="3"/>
  <c r="C362" i="3"/>
  <c r="C363" i="3"/>
  <c r="C364" i="3"/>
  <c r="C365" i="3"/>
  <c r="C366" i="3"/>
  <c r="C367" i="3"/>
  <c r="C357" i="3"/>
  <c r="C356" i="3"/>
  <c r="C354" i="3"/>
  <c r="C355" i="3"/>
  <c r="C348" i="3"/>
  <c r="C349" i="3"/>
  <c r="C350" i="3"/>
  <c r="C351" i="3"/>
  <c r="C352" i="3"/>
  <c r="C353" i="3"/>
  <c r="C347" i="3"/>
  <c r="C346" i="3"/>
  <c r="C345" i="3"/>
  <c r="C341" i="3"/>
  <c r="C342" i="3"/>
  <c r="C343" i="3"/>
  <c r="C344" i="3"/>
  <c r="C340" i="3"/>
  <c r="C339" i="3"/>
  <c r="C338" i="3"/>
  <c r="C337" i="3"/>
  <c r="C336" i="3"/>
  <c r="C327" i="3"/>
  <c r="C334" i="3"/>
  <c r="C335" i="3"/>
  <c r="C333" i="3"/>
  <c r="C328" i="3"/>
  <c r="C329" i="3"/>
  <c r="C330" i="3"/>
  <c r="C331" i="3"/>
  <c r="C332" i="3"/>
  <c r="C325" i="3"/>
  <c r="C326" i="3"/>
  <c r="C319" i="3"/>
  <c r="C320" i="3"/>
  <c r="C321" i="3"/>
  <c r="C322" i="3"/>
  <c r="C323" i="3"/>
  <c r="C32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02" i="3"/>
  <c r="C303" i="3"/>
  <c r="C304" i="3"/>
  <c r="C300" i="3"/>
  <c r="C301" i="3"/>
  <c r="C292" i="3"/>
  <c r="C293" i="3"/>
  <c r="C294" i="3"/>
  <c r="C295" i="3"/>
  <c r="C296" i="3"/>
  <c r="C297" i="3"/>
  <c r="C298" i="3"/>
  <c r="C299" i="3"/>
  <c r="C289" i="3"/>
  <c r="C290" i="3"/>
  <c r="C291" i="3"/>
  <c r="C286" i="3"/>
  <c r="C287" i="3"/>
  <c r="C288" i="3"/>
  <c r="C283" i="3"/>
  <c r="C284" i="3"/>
  <c r="C285" i="3"/>
  <c r="C279" i="3"/>
  <c r="C280" i="3"/>
  <c r="C281" i="3"/>
  <c r="C282" i="3"/>
  <c r="C278" i="3"/>
  <c r="C271" i="3"/>
  <c r="C272" i="3"/>
  <c r="C273" i="3"/>
  <c r="C274" i="3"/>
  <c r="C275" i="3"/>
  <c r="C276" i="3"/>
  <c r="C277" i="3"/>
  <c r="C270" i="3"/>
  <c r="C269" i="3"/>
  <c r="C268" i="3"/>
  <c r="C257" i="3"/>
  <c r="C267" i="3"/>
  <c r="C266" i="3"/>
  <c r="C250" i="3"/>
  <c r="C251" i="3"/>
  <c r="C252" i="3"/>
  <c r="C253" i="3"/>
  <c r="C254" i="3"/>
  <c r="C255" i="3"/>
  <c r="C256" i="3"/>
  <c r="C258" i="3"/>
  <c r="C259" i="3"/>
  <c r="C260" i="3"/>
  <c r="C261" i="3"/>
  <c r="C262" i="3"/>
  <c r="C263" i="3"/>
  <c r="C264" i="3"/>
  <c r="C265" i="3"/>
  <c r="C248" i="3"/>
  <c r="C249" i="3"/>
  <c r="C247" i="3"/>
  <c r="C244" i="3"/>
  <c r="C245" i="3"/>
  <c r="C246" i="3"/>
  <c r="C242" i="3"/>
  <c r="C243" i="3"/>
  <c r="C239" i="3"/>
  <c r="C240" i="3"/>
  <c r="C241" i="3"/>
  <c r="C238" i="3"/>
  <c r="C237" i="3"/>
  <c r="C236" i="3"/>
  <c r="C235" i="3"/>
  <c r="C234" i="3"/>
  <c r="C223" i="3"/>
  <c r="C224" i="3"/>
  <c r="C225" i="3"/>
  <c r="C226" i="3"/>
  <c r="C227" i="3"/>
  <c r="C228" i="3"/>
  <c r="C229" i="3"/>
  <c r="C230" i="3"/>
  <c r="C231" i="3"/>
  <c r="C232" i="3"/>
  <c r="C233" i="3"/>
  <c r="C221" i="3"/>
  <c r="C222" i="3"/>
  <c r="C218" i="3"/>
  <c r="C219" i="3"/>
  <c r="C220" i="3"/>
  <c r="C210" i="3"/>
  <c r="C211" i="3"/>
  <c r="C212" i="3"/>
  <c r="C213" i="3"/>
  <c r="C214" i="3"/>
  <c r="C215" i="3"/>
  <c r="C216" i="3"/>
  <c r="C217" i="3"/>
  <c r="C205" i="3"/>
  <c r="C206" i="3"/>
  <c r="C207" i="3"/>
  <c r="C208" i="3"/>
  <c r="C209" i="3"/>
  <c r="C197" i="3"/>
  <c r="C198" i="3"/>
  <c r="C199" i="3"/>
  <c r="C200" i="3"/>
  <c r="C201" i="3"/>
  <c r="C202" i="3"/>
  <c r="C203" i="3"/>
  <c r="C204" i="3"/>
  <c r="C193" i="3"/>
  <c r="C194" i="3"/>
  <c r="C195" i="3"/>
  <c r="C196" i="3"/>
  <c r="C189" i="3"/>
  <c r="C190" i="3"/>
  <c r="C191" i="3"/>
  <c r="C192" i="3"/>
  <c r="C181" i="3"/>
  <c r="C182" i="3"/>
  <c r="C183" i="3"/>
  <c r="C184" i="3"/>
  <c r="C185" i="3"/>
  <c r="C186" i="3"/>
  <c r="C187" i="3"/>
  <c r="C188" i="3"/>
  <c r="C178" i="3"/>
  <c r="C179" i="3"/>
  <c r="C180" i="3"/>
  <c r="C177" i="3"/>
  <c r="C168" i="3"/>
  <c r="C169" i="3"/>
  <c r="C170" i="3"/>
  <c r="C171" i="3"/>
  <c r="C172" i="3"/>
  <c r="C173" i="3"/>
  <c r="C174" i="3"/>
  <c r="C175" i="3"/>
  <c r="C176" i="3"/>
  <c r="C165" i="3"/>
  <c r="C166" i="3"/>
  <c r="C167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0" i="3"/>
  <c r="C151" i="3"/>
  <c r="C152" i="3"/>
  <c r="C143" i="3"/>
  <c r="C144" i="3"/>
  <c r="C145" i="3"/>
  <c r="C146" i="3"/>
  <c r="C147" i="3"/>
  <c r="C148" i="3"/>
  <c r="C149" i="3"/>
  <c r="C141" i="3"/>
  <c r="C139" i="3"/>
  <c r="C140" i="3"/>
  <c r="C142" i="3"/>
  <c r="C129" i="3"/>
  <c r="C130" i="3"/>
  <c r="C131" i="3"/>
  <c r="C132" i="3"/>
  <c r="C133" i="3"/>
  <c r="C134" i="3"/>
  <c r="C135" i="3"/>
  <c r="C136" i="3"/>
  <c r="C137" i="3"/>
  <c r="C138" i="3"/>
  <c r="C121" i="3"/>
  <c r="C122" i="3"/>
  <c r="C123" i="3"/>
  <c r="C124" i="3"/>
  <c r="C125" i="3"/>
  <c r="C126" i="3"/>
  <c r="C128" i="3"/>
  <c r="C127" i="3"/>
  <c r="C120" i="3"/>
  <c r="C119" i="3"/>
  <c r="C116" i="3"/>
  <c r="C117" i="3"/>
  <c r="C118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01" i="3"/>
  <c r="C98" i="3"/>
  <c r="C99" i="3"/>
  <c r="C100" i="3"/>
  <c r="C97" i="3"/>
  <c r="C90" i="3"/>
  <c r="C91" i="3"/>
  <c r="C92" i="3"/>
  <c r="C93" i="3"/>
  <c r="C94" i="3"/>
  <c r="C95" i="3"/>
  <c r="C96" i="3"/>
  <c r="C85" i="3"/>
  <c r="C87" i="3"/>
  <c r="C88" i="3"/>
  <c r="C89" i="3"/>
  <c r="C84" i="3"/>
  <c r="C86" i="3"/>
  <c r="C83" i="3"/>
  <c r="C80" i="3"/>
  <c r="C81" i="3"/>
  <c r="C82" i="3"/>
  <c r="C79" i="3"/>
  <c r="C78" i="3"/>
  <c r="C77" i="3"/>
  <c r="C76" i="3"/>
  <c r="C75" i="3"/>
  <c r="C74" i="3"/>
  <c r="C73" i="3"/>
  <c r="C72" i="3"/>
  <c r="C71" i="3"/>
  <c r="C69" i="3"/>
  <c r="C70" i="3"/>
  <c r="C62" i="3"/>
  <c r="C63" i="3"/>
  <c r="C64" i="3"/>
  <c r="C65" i="3"/>
  <c r="C66" i="3"/>
  <c r="C67" i="3"/>
  <c r="C68" i="3"/>
  <c r="C61" i="3"/>
  <c r="C59" i="3"/>
  <c r="C60" i="3"/>
  <c r="C58" i="3"/>
  <c r="C50" i="3"/>
  <c r="C51" i="3"/>
  <c r="C52" i="3"/>
  <c r="C53" i="3"/>
  <c r="C54" i="3"/>
  <c r="C55" i="3"/>
  <c r="C56" i="3"/>
  <c r="C57" i="3"/>
  <c r="C48" i="3"/>
  <c r="C49" i="3"/>
  <c r="C47" i="3"/>
  <c r="C45" i="3"/>
  <c r="C46" i="3"/>
  <c r="C42" i="3"/>
  <c r="C43" i="3"/>
  <c r="C44" i="3"/>
  <c r="C41" i="3"/>
  <c r="C40" i="3"/>
  <c r="C39" i="3"/>
  <c r="C38" i="3"/>
  <c r="C27" i="3"/>
  <c r="C28" i="3"/>
  <c r="C29" i="3"/>
  <c r="C30" i="3"/>
  <c r="C31" i="3"/>
  <c r="C32" i="3"/>
  <c r="C33" i="3"/>
  <c r="C34" i="3"/>
  <c r="C35" i="3"/>
  <c r="C36" i="3"/>
  <c r="C37" i="3"/>
  <c r="C24" i="3"/>
  <c r="C25" i="3"/>
  <c r="C26" i="3"/>
  <c r="C22" i="3"/>
  <c r="C23" i="3"/>
  <c r="C13" i="3"/>
  <c r="C14" i="3"/>
  <c r="C15" i="3"/>
  <c r="C16" i="3"/>
  <c r="C17" i="3"/>
  <c r="C18" i="3"/>
  <c r="C19" i="3"/>
  <c r="C20" i="3"/>
  <c r="C21" i="3"/>
  <c r="C11" i="3"/>
  <c r="C12" i="3"/>
  <c r="C6" i="3"/>
  <c r="C7" i="3"/>
  <c r="C8" i="3"/>
  <c r="C9" i="3"/>
  <c r="C10" i="3"/>
  <c r="C5" i="3"/>
  <c r="C4" i="3"/>
  <c r="C3" i="3"/>
  <c r="C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Szkodzin</author>
    <author>Kacper Szkodziński</author>
  </authors>
  <commentList>
    <comment ref="G4" authorId="0" shapeId="0" xr:uid="{1F5C625A-29D9-4CCE-9B9E-3E863A3FF190}">
      <text>
        <r>
          <rPr>
            <b/>
            <sz val="9"/>
            <color indexed="81"/>
            <rFont val="Tahoma"/>
            <family val="2"/>
          </rPr>
          <t>Szkodzin:</t>
        </r>
        <r>
          <rPr>
            <sz val="9"/>
            <color indexed="81"/>
            <rFont val="Tahoma"/>
            <family val="2"/>
          </rPr>
          <t xml:space="preserve">
By difference as summed is not available</t>
        </r>
      </text>
    </comment>
    <comment ref="C5" authorId="0" shapeId="0" xr:uid="{8AAC512A-A056-406A-AD2D-BAF5B8FBFC6B}">
      <text>
        <r>
          <rPr>
            <b/>
            <sz val="9"/>
            <color indexed="81"/>
            <rFont val="Tahoma"/>
            <family val="2"/>
          </rPr>
          <t>Szkodzin:</t>
        </r>
        <r>
          <rPr>
            <sz val="9"/>
            <color indexed="81"/>
            <rFont val="Tahoma"/>
            <family val="2"/>
          </rPr>
          <t xml:space="preserve">
60 grams</t>
        </r>
      </text>
    </comment>
    <comment ref="G6" authorId="0" shapeId="0" xr:uid="{F0E0E141-7C61-433A-B02F-DF02C718EE93}">
      <text>
        <r>
          <rPr>
            <b/>
            <sz val="9"/>
            <color indexed="81"/>
            <rFont val="Tahoma"/>
            <family val="2"/>
          </rPr>
          <t>Szkodzin:</t>
        </r>
        <r>
          <rPr>
            <sz val="9"/>
            <color indexed="81"/>
            <rFont val="Tahoma"/>
            <family val="2"/>
          </rPr>
          <t xml:space="preserve">
By difference as summed is not available</t>
        </r>
      </text>
    </comment>
    <comment ref="G7" authorId="0" shapeId="0" xr:uid="{620F5724-BC5E-462B-BDBF-D5B7D1088DD2}">
      <text>
        <r>
          <rPr>
            <b/>
            <sz val="9"/>
            <color indexed="81"/>
            <rFont val="Tahoma"/>
            <family val="2"/>
          </rPr>
          <t>Szkodzin:</t>
        </r>
        <r>
          <rPr>
            <sz val="9"/>
            <color indexed="81"/>
            <rFont val="Tahoma"/>
            <family val="2"/>
          </rPr>
          <t xml:space="preserve">
By difference as summed is not available</t>
        </r>
      </text>
    </comment>
    <comment ref="G8" authorId="0" shapeId="0" xr:uid="{7981CBDE-84B5-457A-9561-5DDFCFA9FC90}">
      <text>
        <r>
          <rPr>
            <b/>
            <sz val="9"/>
            <color indexed="81"/>
            <rFont val="Tahoma"/>
            <family val="2"/>
          </rPr>
          <t>Szkodzin:</t>
        </r>
        <r>
          <rPr>
            <sz val="9"/>
            <color indexed="81"/>
            <rFont val="Tahoma"/>
            <family val="2"/>
          </rPr>
          <t xml:space="preserve">
By difference as summed is not available</t>
        </r>
      </text>
    </comment>
    <comment ref="G10" authorId="0" shapeId="0" xr:uid="{9885AEAD-200A-4310-A589-62E2C56182AA}">
      <text>
        <r>
          <rPr>
            <b/>
            <sz val="9"/>
            <color indexed="81"/>
            <rFont val="Tahoma"/>
            <family val="2"/>
          </rPr>
          <t>Szkodzin:</t>
        </r>
        <r>
          <rPr>
            <sz val="9"/>
            <color indexed="81"/>
            <rFont val="Tahoma"/>
            <family val="2"/>
          </rPr>
          <t xml:space="preserve">
By difference as summed is not available</t>
        </r>
      </text>
    </comment>
    <comment ref="G11" authorId="0" shapeId="0" xr:uid="{4F387AD3-E41A-4048-9AB1-8590AF199292}">
      <text>
        <r>
          <rPr>
            <b/>
            <sz val="9"/>
            <color indexed="81"/>
            <rFont val="Tahoma"/>
            <family val="2"/>
          </rPr>
          <t>Szkodzin:</t>
        </r>
        <r>
          <rPr>
            <sz val="9"/>
            <color indexed="81"/>
            <rFont val="Tahoma"/>
            <family val="2"/>
          </rPr>
          <t xml:space="preserve">
By difference as summed is not available</t>
        </r>
      </text>
    </comment>
    <comment ref="A16" authorId="0" shapeId="0" xr:uid="{F029D728-8B2D-4EBE-BDE5-89D85C37C314}">
      <text>
        <r>
          <rPr>
            <b/>
            <sz val="9"/>
            <color indexed="81"/>
            <rFont val="Tahoma"/>
            <family val="2"/>
          </rPr>
          <t>Szkodzin:</t>
        </r>
        <r>
          <rPr>
            <sz val="9"/>
            <color indexed="81"/>
            <rFont val="Tahoma"/>
            <family val="2"/>
          </rPr>
          <t xml:space="preserve">
https://en.wikipedia.org/wiki/Coconut_water</t>
        </r>
      </text>
    </comment>
    <comment ref="A24" authorId="1" shapeId="0" xr:uid="{EE97E905-9A73-4326-BC52-0243C773B229}">
      <text>
        <r>
          <rPr>
            <b/>
            <sz val="9"/>
            <color indexed="81"/>
            <rFont val="Tahoma"/>
            <charset val="1"/>
          </rPr>
          <t>Kacper Szkodziński:</t>
        </r>
        <r>
          <rPr>
            <sz val="9"/>
            <color indexed="81"/>
            <rFont val="Tahoma"/>
            <charset val="1"/>
          </rPr>
          <t xml:space="preserve">
https://en.wikipedia.org/wiki/Cinnamon</t>
        </r>
      </text>
    </comment>
    <comment ref="A25" authorId="1" shapeId="0" xr:uid="{808D4E51-F541-4E6B-B76D-164DDF22D4C0}">
      <text>
        <r>
          <rPr>
            <b/>
            <sz val="9"/>
            <color indexed="81"/>
            <rFont val="Tahoma"/>
            <charset val="1"/>
          </rPr>
          <t>Kacper Szkodziński:</t>
        </r>
        <r>
          <rPr>
            <sz val="9"/>
            <color indexed="81"/>
            <rFont val="Tahoma"/>
            <charset val="1"/>
          </rPr>
          <t xml:space="preserve">
https://www.eatthismuch.com/calories/chicken-liver-634</t>
        </r>
      </text>
    </comment>
    <comment ref="A28" authorId="1" shapeId="0" xr:uid="{B2EDF2C3-ABF2-491F-8FA4-9D40525CBA15}">
      <text>
        <r>
          <rPr>
            <b/>
            <sz val="9"/>
            <color indexed="81"/>
            <rFont val="Tahoma"/>
            <family val="2"/>
          </rPr>
          <t>Kacper Szkodziński: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31" authorId="1" shapeId="0" xr:uid="{7E2D320D-8546-49B4-9613-C99786DC3B47}">
      <text>
        <r>
          <rPr>
            <b/>
            <sz val="9"/>
            <color indexed="81"/>
            <rFont val="Tahoma"/>
            <family val="2"/>
          </rPr>
          <t>Kacper Szkodziński:</t>
        </r>
        <r>
          <rPr>
            <sz val="9"/>
            <color indexed="81"/>
            <rFont val="Tahoma"/>
            <family val="2"/>
          </rPr>
          <t xml:space="preserve">
https://foodstruct.com/food/basil</t>
        </r>
      </text>
    </comment>
    <comment ref="A32" authorId="1" shapeId="0" xr:uid="{D1ADDF19-60CC-4329-A6D9-B514EA7FFFB1}">
      <text>
        <r>
          <rPr>
            <b/>
            <sz val="9"/>
            <color indexed="81"/>
            <rFont val="Tahoma"/>
            <family val="2"/>
          </rPr>
          <t>Kacper Szkodziński:</t>
        </r>
        <r>
          <rPr>
            <sz val="9"/>
            <color indexed="81"/>
            <rFont val="Tahoma"/>
            <family val="2"/>
          </rPr>
          <t xml:space="preserve">
https://foodstruct.com/food/oregano</t>
        </r>
      </text>
    </comment>
    <comment ref="A33" authorId="1" shapeId="0" xr:uid="{D98E132F-4EF6-4981-BFCB-6526FC1C5583}">
      <text>
        <r>
          <rPr>
            <b/>
            <sz val="9"/>
            <color indexed="81"/>
            <rFont val="Tahoma"/>
            <family val="2"/>
          </rPr>
          <t>Kacper Szkodziński:</t>
        </r>
        <r>
          <rPr>
            <sz val="9"/>
            <color indexed="81"/>
            <rFont val="Tahoma"/>
            <family val="2"/>
          </rPr>
          <t xml:space="preserve">
https://foodstruct.com/food/garlic</t>
        </r>
      </text>
    </comment>
    <comment ref="A35" authorId="1" shapeId="0" xr:uid="{807EFEE2-F8E6-430C-AC67-9439620C0082}">
      <text>
        <r>
          <rPr>
            <b/>
            <sz val="9"/>
            <color indexed="81"/>
            <rFont val="Tahoma"/>
            <charset val="1"/>
          </rPr>
          <t>Kacper Szkodziński:</t>
        </r>
        <r>
          <rPr>
            <sz val="9"/>
            <color indexed="81"/>
            <rFont val="Tahoma"/>
            <charset val="1"/>
          </rPr>
          <t xml:space="preserve">
https://foodstruct.com/food/clementines-raw</t>
        </r>
      </text>
    </comment>
  </commentList>
</comments>
</file>

<file path=xl/sharedStrings.xml><?xml version="1.0" encoding="utf-8"?>
<sst xmlns="http://schemas.openxmlformats.org/spreadsheetml/2006/main" count="1470" uniqueCount="174">
  <si>
    <t>Name</t>
  </si>
  <si>
    <t>Samples</t>
  </si>
  <si>
    <t>          Water</t>
  </si>
  <si>
    <t>g</t>
  </si>
  <si>
    <t>Analytical</t>
  </si>
  <si>
    <t>          Energy (Atwater General Factors)</t>
  </si>
  <si>
    <t>kcal</t>
  </si>
  <si>
    <t>Calculated</t>
  </si>
  <si>
    <t>          Energy (Atwater Specific Factors)</t>
  </si>
  <si>
    <t>          Protein</t>
  </si>
  <si>
    <t>          Total lipid (fat)</t>
  </si>
  <si>
    <t>          Ash</t>
  </si>
  <si>
    <t>          Carbohydrates:</t>
  </si>
  <si>
    <t>                    Carbohydrate, by difference</t>
  </si>
  <si>
    <t>mg</t>
  </si>
  <si>
    <t>Minerals:</t>
  </si>
  <si>
    <t>          Calcium, Ca</t>
  </si>
  <si>
    <t>          Iron, Fe</t>
  </si>
  <si>
    <t>          Magnesium, Mg</t>
  </si>
  <si>
    <t>          Phosphorus, P</t>
  </si>
  <si>
    <t>          Potassium, K</t>
  </si>
  <si>
    <t>          Sodium, Na</t>
  </si>
  <si>
    <t>          Zinc, Zn</t>
  </si>
  <si>
    <t>          Copper, Cu</t>
  </si>
  <si>
    <t>          Manganese, Mn</t>
  </si>
  <si>
    <t>Strawberry</t>
  </si>
  <si>
    <t>Portion</t>
  </si>
  <si>
    <t>Portion unit</t>
  </si>
  <si>
    <t>grams</t>
  </si>
  <si>
    <t>kcal (Atwater Specific Factors)</t>
  </si>
  <si>
    <t>Protein (g)</t>
  </si>
  <si>
    <t>Fat (g)</t>
  </si>
  <si>
    <t>Carbohydrates (summed - g)</t>
  </si>
  <si>
    <t>Calcium, Ca (mg)</t>
  </si>
  <si>
    <t>Iron, Fe (mg)</t>
  </si>
  <si>
    <t>Magnesium, Mg (mg)</t>
  </si>
  <si>
    <t>Phosphorus, P (mg)</t>
  </si>
  <si>
    <t>Potassium, K (mg)</t>
  </si>
  <si>
    <t>Sodium, Na (mg)</t>
  </si>
  <si>
    <t>Zinc, Zn (mg)</t>
  </si>
  <si>
    <t>Copper, Cu (mg)</t>
  </si>
  <si>
    <t>Manganese, Mn (mg)</t>
  </si>
  <si>
    <t>Vitamin C (mg)</t>
  </si>
  <si>
    <t>Pineapple</t>
  </si>
  <si>
    <t>Molybdenum, Mo (µg)</t>
  </si>
  <si>
    <t>Sunflower seed</t>
  </si>
  <si>
    <t>Eggs</t>
  </si>
  <si>
    <t>egg</t>
  </si>
  <si>
    <t>Selenium, Se (µg)</t>
  </si>
  <si>
    <t>Iodine, I (µg)</t>
  </si>
  <si>
    <t>Vitamin D (D2 + D3 - IU)</t>
  </si>
  <si>
    <t>Vitamin A, RAE (µg)</t>
  </si>
  <si>
    <t>Date</t>
  </si>
  <si>
    <t>Time period</t>
  </si>
  <si>
    <t>Breakfast</t>
  </si>
  <si>
    <t>White rice</t>
  </si>
  <si>
    <t>Brown rice</t>
  </si>
  <si>
    <t>Oatmeals</t>
  </si>
  <si>
    <t>Chicken, breast, boneless, skinless,</t>
  </si>
  <si>
    <t>Amount</t>
  </si>
  <si>
    <t>Cashew</t>
  </si>
  <si>
    <t>Lunch</t>
  </si>
  <si>
    <t>Brazilnut</t>
  </si>
  <si>
    <t>Dinner</t>
  </si>
  <si>
    <t>Onion, yellow</t>
  </si>
  <si>
    <t>Pepper, bell, red</t>
  </si>
  <si>
    <t>Fish, salmon</t>
  </si>
  <si>
    <t>Fish, tuna, light, canned in water</t>
  </si>
  <si>
    <t>Coconut water</t>
  </si>
  <si>
    <t>Coconaut</t>
  </si>
  <si>
    <t>can</t>
  </si>
  <si>
    <t>Protein powder (WPC 82 pure)</t>
  </si>
  <si>
    <t>Carrot</t>
  </si>
  <si>
    <t>          Nitrogen</t>
  </si>
  <si>
    <t>Supper</t>
  </si>
  <si>
    <t>Chocolate (milka - oreo)</t>
  </si>
  <si>
    <t>Beets</t>
  </si>
  <si>
    <t>Bananas, ripe and slightly ripe</t>
  </si>
  <si>
    <t>Donut</t>
  </si>
  <si>
    <t>Cinnamon</t>
  </si>
  <si>
    <t>Chicken liver</t>
  </si>
  <si>
    <t>Peanuts</t>
  </si>
  <si>
    <t>B1 - Thiamin (mg)</t>
  </si>
  <si>
    <t>B2 - Riboflavin (mg)</t>
  </si>
  <si>
    <t>B3 - Niacin (mg)</t>
  </si>
  <si>
    <t>B7 - Biotin (µg)</t>
  </si>
  <si>
    <t>B9 - Folate, total (µg)</t>
  </si>
  <si>
    <t>B5 - pantothenic acid (mg)</t>
  </si>
  <si>
    <t>B6 - pyridoxine (mg)</t>
  </si>
  <si>
    <t>B12 - cobalamins (µg)</t>
  </si>
  <si>
    <t>Spinach</t>
  </si>
  <si>
    <t>Spelt pasta</t>
  </si>
  <si>
    <t>Vitamin E (mg)</t>
  </si>
  <si>
    <t>Tomato, puree</t>
  </si>
  <si>
    <t>Pork</t>
  </si>
  <si>
    <t>Basil</t>
  </si>
  <si>
    <t>Vitamin K (µg)</t>
  </si>
  <si>
    <t>Oregano</t>
  </si>
  <si>
    <t>Garlic</t>
  </si>
  <si>
    <t>Chia seeds, boiled</t>
  </si>
  <si>
    <t>Clementine</t>
  </si>
  <si>
    <t>Peppers, bell, green, raw</t>
  </si>
  <si>
    <t>                              Fiber, total dietary</t>
  </si>
  <si>
    <t>          Selenium, Se</t>
  </si>
  <si>
    <t>&lt;2.5</t>
  </si>
  <si>
    <t>µg</t>
  </si>
  <si>
    <t>Vitamins and Other Components:</t>
  </si>
  <si>
    <t>          Vitamin C, total ascorbic acid</t>
  </si>
  <si>
    <t>          Thiamin</t>
  </si>
  <si>
    <t>          Riboflavin</t>
  </si>
  <si>
    <t>          Niacin</t>
  </si>
  <si>
    <t>          Vitamin B-6</t>
  </si>
  <si>
    <t>          Biotin</t>
  </si>
  <si>
    <t>          Folate, total</t>
  </si>
  <si>
    <t>Chips (lays sticks)</t>
  </si>
  <si>
    <t>Peppers, bell, yellow</t>
  </si>
  <si>
    <t>Proximates:</t>
  </si>
  <si>
    <t>Almonds</t>
  </si>
  <si>
    <t>Arugula</t>
  </si>
  <si>
    <t>Hazelnut</t>
  </si>
  <si>
    <t>Green lentils</t>
  </si>
  <si>
    <t>Walnut</t>
  </si>
  <si>
    <t>Kefir</t>
  </si>
  <si>
    <t>Winter squash</t>
  </si>
  <si>
    <t>Paprika</t>
  </si>
  <si>
    <t>Cumin</t>
  </si>
  <si>
    <t>Mango</t>
  </si>
  <si>
    <t>Cucumber</t>
  </si>
  <si>
    <t>Trout</t>
  </si>
  <si>
    <t>Cabbage</t>
  </si>
  <si>
    <t>Leak</t>
  </si>
  <si>
    <t>Greisspudding high protein Milsani</t>
  </si>
  <si>
    <t>Blueberry</t>
  </si>
  <si>
    <t>Avocado</t>
  </si>
  <si>
    <t>Valeriana locusta</t>
  </si>
  <si>
    <t>Kiwi</t>
  </si>
  <si>
    <t>Quinoa</t>
  </si>
  <si>
    <t>Cottage cheese</t>
  </si>
  <si>
    <t>Danio serek</t>
  </si>
  <si>
    <t>Gouda cheese</t>
  </si>
  <si>
    <t>Image</t>
  </si>
  <si>
    <t>https://upload.wikimedia.org/wikipedia/commons/thumb/a/ac/No_image_available.svg/330px-No_image_available.svg.png</t>
  </si>
  <si>
    <t>https://encrypted-tbn0.gstatic.com/images?q=tbn:ANd9GcRzuu9QPFmtFMGK4sMLqZ89vrwnWdO9ADmX6w&amp;s</t>
  </si>
  <si>
    <t>https://fruitique.in/cdn/shop/products/44_750x810.jpg?v=1627403449</t>
  </si>
  <si>
    <t>https://ayoubs.ca/cdn/shop/articles/sunflower_seeds_keto_460x@2x.png?v=1744291764</t>
  </si>
  <si>
    <t>https://www.tasteofhome.com/wp-content/uploads/2025/01/Pressure-Cooker-Hard-Boiled-Eggs_EXPS_TOHD24_258639_ChristineMa_3.jpg</t>
  </si>
  <si>
    <t>https://images.getrecipekit.com/20230113172320-whiterice.jpg?aspect_ratio=1:1&amp;quality=90&amp;</t>
  </si>
  <si>
    <t>https://media.post.rvohealth.io/wp-content/uploads/2023/09/brown-rice-facbeook-1200x628.jpg</t>
  </si>
  <si>
    <t>https://thottamfarmfresh.com/wp-content/uploads/2021/08/Cashew-Nuts.webp</t>
  </si>
  <si>
    <t>https://static.wixstatic.com/media/2a3d4f_e363d39f42fc4dfeb5db703d9cc2760c~mv2.jpg/v1/fill/w_480,h_394,al_c,q_80,usm_0.66_1.00_0.01,enc_avif,quality_auto/2a3d4f_e363d39f42fc4dfeb5db703d9cc2760c~mv2.jpg</t>
  </si>
  <si>
    <t>https://encrypted-tbn0.gstatic.com/images?q=tbn:ANd9GcQE_TaCRUyCB-UmltWmo1YV8uGcgWiCV6QqCQ&amp;s</t>
  </si>
  <si>
    <t>https://asian-veggies.com/cdn/shop/products/redbellpepper.png?v=1604549822</t>
  </si>
  <si>
    <t>https://coconaut.com/wp-content/uploads/2023/07/Coconaut_mix_01.png</t>
  </si>
  <si>
    <t>https://upload.wikimedia.org/wikipedia/commons/thumb/a/a2/Vegetable-Carrot-Bundle-wStalks.jpg/1280px-Vegetable-Carrot-Bundle-wStalks.jpg</t>
  </si>
  <si>
    <t>https://encrypted-tbn0.gstatic.com/images?q=tbn:ANd9GcRy0z4tzOzlcKKFrozL_7ke1YFMVRcgRCPmQQ&amp;s</t>
  </si>
  <si>
    <t>https://encrypted-tbn0.gstatic.com/images?q=tbn:ANd9GcRvuFWmgStX6zF38A7ZufXtDXTlUag-rcKnew&amp;s</t>
  </si>
  <si>
    <t>https://upload.wikimedia.org/wikipedia/commons/thumb/a/a5/Glazed-Donut.jpg/1280px-Glazed-Donut.jpg</t>
  </si>
  <si>
    <t>https://upload.wikimedia.org/wikipedia/commons/d/de/Cinnamomum_verum_spices.jpg</t>
  </si>
  <si>
    <t>https://www.meatinthebox.com/wp-content/uploads/2024/11/23c55476-401a-4b29-8fc6-a06806438abf.webp</t>
  </si>
  <si>
    <t>https://peanut-institute.com/wp-content/uploads/2023/02/about-peanuts.jpg</t>
  </si>
  <si>
    <t>https://i0.wp.com/post.healthline.com/wp-content/uploads/2019/05/spinach-1296x728-header.jpg?w=1155&amp;h=1528</t>
  </si>
  <si>
    <t>https://www.allrecipes.com/thmb/t1zHxJ6UMwK-JNPLiNSIkxbC9iM=/1500x0/filters:no_upscale():max_bytes(150000):strip_icc()/GettyImages-1127120944-2-2000-561b92f50d4942f18dbe80cafc4b938a.jpg</t>
  </si>
  <si>
    <t>https://bioshi.pl/data/include/img/news/1657553321.jpg</t>
  </si>
  <si>
    <t>https://www.foodandwine.com/thmb/GniPCATitAnaKfnaCP10iS1FqRE=/1500x0/filters:no_upscale():max_bytes(150000):strip_icc()/The-Best-Way-to-Peel-Garlic-FT-BLOG0825-a778b581a18e4bb9a4e701f93e9523f1.jpg</t>
  </si>
  <si>
    <t>https://encrypted-tbn0.gstatic.com/images?q=tbn:ANd9GcQyODPjrspqj-Ze_27qt6jcI584nWJxs-NG0g&amp;s</t>
  </si>
  <si>
    <t>https://www.alimentarium.org/sites/default/files/media/image/2016-10/AL012-06%20clementine_0.jpg</t>
  </si>
  <si>
    <t>https://asian-veggies.com/cdn/shop/products/bells_2048x.png?v=1627326374</t>
  </si>
  <si>
    <t>https://bonnieplants.com/cdn/shop/products/yellow-bell-pepper.jpg?v=1642630029&amp;width=1000</t>
  </si>
  <si>
    <t>https://www.etutor.pl/images-common/words400/almond.jpg</t>
  </si>
  <si>
    <t>https://www.highmowingseeds.com/media/catalog/product/cache/95cbc1bb565f689da055dd93b41e1c28/2/0/2005-1.jpg</t>
  </si>
  <si>
    <t>https://www.herbazest.com/imgs/8/6/7/86011/hazelnuts.jpg</t>
  </si>
  <si>
    <t>https://pepperycatgrocer.com/cdn/shop/products/greenlentils.jpg?v=1681857858</t>
  </si>
  <si>
    <t>https://upload.wikimedia.org/wikipedia/commons/thumb/b/b2/Walnuts_-_whole_and_open_with_halved_kernel.jpg/1280px-Walnuts_-_whole_and_open_with_halved_kernel.jpg</t>
  </si>
  <si>
    <t>https://encrypted-tbn0.gstatic.com/images?q=tbn:ANd9GcTpPsTSL_cn71g8F2ZjOZ_D2MiADlrB_e_fgg&amp;s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</si>
</sst>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212121"/>
      <name val="Source Sans Pro"/>
      <family val="2"/>
    </font>
    <font>
      <u/>
      <sz val="9"/>
      <color rgb="FF0071BC"/>
      <name val="Source Sans Pro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rgb="FF212121"/>
      <name val="Source Sans Pro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0F0F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5B616B"/>
      </top>
      <bottom style="medium">
        <color rgb="FF5B616B"/>
      </bottom>
      <diagonal/>
    </border>
    <border>
      <left style="medium">
        <color rgb="FF000000"/>
      </left>
      <right/>
      <top style="medium">
        <color rgb="FF5B616B"/>
      </top>
      <bottom style="medium">
        <color rgb="FF5B616B"/>
      </bottom>
      <diagonal/>
    </border>
    <border>
      <left/>
      <right style="medium">
        <color rgb="FF000000"/>
      </right>
      <top style="medium">
        <color rgb="FF5B616B"/>
      </top>
      <bottom style="medium">
        <color rgb="FF5B616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0" borderId="4" xfId="0" applyBorder="1"/>
    <xf numFmtId="0" fontId="0" fillId="0" borderId="4" xfId="0" applyBorder="1" applyAlignment="1">
      <alignment wrapText="1"/>
    </xf>
    <xf numFmtId="0" fontId="0" fillId="4" borderId="4" xfId="0" applyFill="1" applyBorder="1" applyAlignment="1">
      <alignment wrapText="1"/>
    </xf>
    <xf numFmtId="0" fontId="0" fillId="4" borderId="4" xfId="0" applyFill="1" applyBorder="1"/>
    <xf numFmtId="0" fontId="0" fillId="3" borderId="4" xfId="0" applyFill="1" applyBorder="1" applyAlignment="1">
      <alignment wrapText="1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0" fillId="5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8" fillId="0" borderId="0" xfId="1"/>
    <xf numFmtId="0" fontId="7" fillId="2" borderId="1" xfId="0" applyFont="1" applyFill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3" fillId="2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/>
    </xf>
    <xf numFmtId="0" fontId="7" fillId="6" borderId="3" xfId="0" applyFont="1" applyFill="1" applyBorder="1" applyAlignment="1">
      <alignment vertical="top"/>
    </xf>
    <xf numFmtId="0" fontId="3" fillId="6" borderId="2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ncrypted-tbn0.gstatic.com/images?q=tbn:ANd9GcRy0z4tzOzlcKKFrozL_7ke1YFMVRcgRCPmQQ&amp;s" TargetMode="External"/><Relationship Id="rId18" Type="http://schemas.openxmlformats.org/officeDocument/2006/relationships/hyperlink" Target="https://peanut-institute.com/wp-content/uploads/2023/02/about-peanuts.jpg" TargetMode="External"/><Relationship Id="rId26" Type="http://schemas.openxmlformats.org/officeDocument/2006/relationships/hyperlink" Target="https://bonnieplants.com/cdn/shop/products/yellow-bell-pepper.jpg?v=1642630029&amp;width=1000" TargetMode="External"/><Relationship Id="rId3" Type="http://schemas.openxmlformats.org/officeDocument/2006/relationships/hyperlink" Target="https://ayoubs.ca/cdn/shop/articles/sunflower_seeds_keto_460x@2x.png?v=1744291764" TargetMode="External"/><Relationship Id="rId21" Type="http://schemas.openxmlformats.org/officeDocument/2006/relationships/hyperlink" Target="https://bioshi.pl/data/include/img/news/1657553321.jpg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https://thottamfarmfresh.com/wp-content/uploads/2021/08/Cashew-Nuts.webp" TargetMode="External"/><Relationship Id="rId12" Type="http://schemas.openxmlformats.org/officeDocument/2006/relationships/hyperlink" Target="https://upload.wikimedia.org/wikipedia/commons/thumb/a/a2/Vegetable-Carrot-Bundle-wStalks.jpg/1280px-Vegetable-Carrot-Bundle-wStalks.jpg" TargetMode="External"/><Relationship Id="rId17" Type="http://schemas.openxmlformats.org/officeDocument/2006/relationships/hyperlink" Target="https://www.meatinthebox.com/wp-content/uploads/2024/11/23c55476-401a-4b29-8fc6-a06806438abf.webp" TargetMode="External"/><Relationship Id="rId25" Type="http://schemas.openxmlformats.org/officeDocument/2006/relationships/hyperlink" Target="https://asian-veggies.com/cdn/shop/products/bells_2048x.png?v=1627326374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https://fruitique.in/cdn/shop/products/44_750x810.jpg?v=1627403449" TargetMode="External"/><Relationship Id="rId16" Type="http://schemas.openxmlformats.org/officeDocument/2006/relationships/hyperlink" Target="https://upload.wikimedia.org/wikipedia/commons/d/de/Cinnamomum_verum_spices.jpg" TargetMode="External"/><Relationship Id="rId20" Type="http://schemas.openxmlformats.org/officeDocument/2006/relationships/hyperlink" Target="https://www.allrecipes.com/thmb/t1zHxJ6UMwK-JNPLiNSIkxbC9iM=/1500x0/filters:no_upscale():max_bytes(150000):strip_icc()/GettyImages-1127120944-2-2000-561b92f50d4942f18dbe80cafc4b938a.jpg" TargetMode="External"/><Relationship Id="rId29" Type="http://schemas.openxmlformats.org/officeDocument/2006/relationships/hyperlink" Target="https://www.herbazest.com/imgs/8/6/7/86011/hazelnuts.jpg" TargetMode="External"/><Relationship Id="rId1" Type="http://schemas.openxmlformats.org/officeDocument/2006/relationships/hyperlink" Target="https://encrypted-tbn0.gstatic.com/images?q=tbn:ANd9GcRzuu9QPFmtFMGK4sMLqZ89vrwnWdO9ADmX6w&amp;s" TargetMode="External"/><Relationship Id="rId6" Type="http://schemas.openxmlformats.org/officeDocument/2006/relationships/hyperlink" Target="https://media.post.rvohealth.io/wp-content/uploads/2023/09/brown-rice-facbeook-1200x628.jpg" TargetMode="External"/><Relationship Id="rId11" Type="http://schemas.openxmlformats.org/officeDocument/2006/relationships/hyperlink" Target="https://coconaut.com/wp-content/uploads/2023/07/Coconaut_mix_01.png" TargetMode="External"/><Relationship Id="rId24" Type="http://schemas.openxmlformats.org/officeDocument/2006/relationships/hyperlink" Target="https://www.alimentarium.org/sites/default/files/media/image/2016-10/AL012-06%20clementine_0.jpg" TargetMode="External"/><Relationship Id="rId32" Type="http://schemas.openxmlformats.org/officeDocument/2006/relationships/hyperlink" Target="https://encrypted-tbn0.gstatic.com/images?q=tbn:ANd9GcTpPsTSL_cn71g8F2ZjOZ_D2MiADlrB_e_fgg&amp;s" TargetMode="External"/><Relationship Id="rId5" Type="http://schemas.openxmlformats.org/officeDocument/2006/relationships/hyperlink" Target="https://images.getrecipekit.com/20230113172320-whiterice.jpg?aspect_ratio=1:1&amp;quality=90&amp;" TargetMode="External"/><Relationship Id="rId15" Type="http://schemas.openxmlformats.org/officeDocument/2006/relationships/hyperlink" Target="https://upload.wikimedia.org/wikipedia/commons/thumb/a/a5/Glazed-Donut.jpg/1280px-Glazed-Donut.jpg" TargetMode="External"/><Relationship Id="rId23" Type="http://schemas.openxmlformats.org/officeDocument/2006/relationships/hyperlink" Target="https://encrypted-tbn0.gstatic.com/images?q=tbn:ANd9GcQyODPjrspqj-Ze_27qt6jcI584nWJxs-NG0g&amp;s" TargetMode="External"/><Relationship Id="rId28" Type="http://schemas.openxmlformats.org/officeDocument/2006/relationships/hyperlink" Target="https://www.highmowingseeds.com/media/catalog/product/cache/95cbc1bb565f689da055dd93b41e1c28/2/0/2005-1.jpg" TargetMode="External"/><Relationship Id="rId10" Type="http://schemas.openxmlformats.org/officeDocument/2006/relationships/hyperlink" Target="https://asian-veggies.com/cdn/shop/products/redbellpepper.png?v=1604549822" TargetMode="External"/><Relationship Id="rId19" Type="http://schemas.openxmlformats.org/officeDocument/2006/relationships/hyperlink" Target="https://i0.wp.com/post.healthline.com/wp-content/uploads/2019/05/spinach-1296x728-header.jpg?w=1155&amp;h=1528" TargetMode="External"/><Relationship Id="rId31" Type="http://schemas.openxmlformats.org/officeDocument/2006/relationships/hyperlink" Target="https://upload.wikimedia.org/wikipedia/commons/thumb/b/b2/Walnuts_-_whole_and_open_with_halved_kernel.jpg/1280px-Walnuts_-_whole_and_open_with_halved_kernel.jpg" TargetMode="External"/><Relationship Id="rId4" Type="http://schemas.openxmlformats.org/officeDocument/2006/relationships/hyperlink" Target="https://www.tasteofhome.com/wp-content/uploads/2025/01/Pressure-Cooker-Hard-Boiled-Eggs_EXPS_TOHD24_258639_ChristineMa_3.jpg" TargetMode="External"/><Relationship Id="rId9" Type="http://schemas.openxmlformats.org/officeDocument/2006/relationships/hyperlink" Target="https://encrypted-tbn0.gstatic.com/images?q=tbn:ANd9GcQE_TaCRUyCB-UmltWmo1YV8uGcgWiCV6QqCQ&amp;s" TargetMode="External"/><Relationship Id="rId14" Type="http://schemas.openxmlformats.org/officeDocument/2006/relationships/hyperlink" Target="https://encrypted-tbn0.gstatic.com/images?q=tbn:ANd9GcRvuFWmgStX6zF38A7ZufXtDXTlUag-rcKnew&amp;s" TargetMode="External"/><Relationship Id="rId22" Type="http://schemas.openxmlformats.org/officeDocument/2006/relationships/hyperlink" Target="https://www.foodandwine.com/thmb/GniPCATitAnaKfnaCP10iS1FqRE=/1500x0/filters:no_upscale():max_bytes(150000):strip_icc()/The-Best-Way-to-Peel-Garlic-FT-BLOG0825-a778b581a18e4bb9a4e701f93e9523f1.jpg" TargetMode="External"/><Relationship Id="rId27" Type="http://schemas.openxmlformats.org/officeDocument/2006/relationships/hyperlink" Target="https://www.etutor.pl/images-common/words400/almond.jpg" TargetMode="External"/><Relationship Id="rId30" Type="http://schemas.openxmlformats.org/officeDocument/2006/relationships/hyperlink" Target="https://pepperycatgrocer.com/cdn/shop/products/greenlentils.jpg?v=1681857858" TargetMode="External"/><Relationship Id="rId35" Type="http://schemas.openxmlformats.org/officeDocument/2006/relationships/comments" Target="../comments1.xml"/><Relationship Id="rId8" Type="http://schemas.openxmlformats.org/officeDocument/2006/relationships/hyperlink" Target="https://static.wixstatic.com/media/2a3d4f_e363d39f42fc4dfeb5db703d9cc2760c~mv2.jpg/v1/fill/w_480,h_394,al_c,q_80,usm_0.66_1.00_0.01,enc_avif,quality_auto/2a3d4f_e363d39f42fc4dfeb5db703d9cc2760c~mv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opLeftCell="A15" workbookViewId="0">
      <selection activeCell="A24" sqref="A24:C30"/>
    </sheetView>
  </sheetViews>
  <sheetFormatPr defaultRowHeight="14.5" x14ac:dyDescent="0.35"/>
  <sheetData>
    <row r="1" spans="1:12" ht="15" thickBot="1" x14ac:dyDescent="0.4">
      <c r="A1" s="22" t="s">
        <v>116</v>
      </c>
      <c r="B1" s="22"/>
      <c r="C1" s="23"/>
      <c r="D1" s="24"/>
      <c r="E1" s="25"/>
      <c r="F1" s="25"/>
      <c r="G1" s="25"/>
      <c r="H1" s="25"/>
      <c r="I1" s="25"/>
      <c r="J1" s="25"/>
      <c r="K1" s="25"/>
      <c r="L1" s="25"/>
    </row>
    <row r="2" spans="1:12" ht="15" thickBot="1" x14ac:dyDescent="0.4">
      <c r="A2" s="9" t="s">
        <v>2</v>
      </c>
      <c r="B2" s="10">
        <v>92.1</v>
      </c>
      <c r="C2" s="11" t="s">
        <v>3</v>
      </c>
      <c r="D2" s="12" t="s">
        <v>4</v>
      </c>
      <c r="E2" s="10">
        <v>9</v>
      </c>
      <c r="F2" s="10" t="s">
        <v>1</v>
      </c>
      <c r="G2" s="10">
        <v>87.8</v>
      </c>
      <c r="H2" s="10">
        <v>93.3</v>
      </c>
      <c r="I2" s="10">
        <v>92.4</v>
      </c>
      <c r="J2" s="13"/>
      <c r="K2" s="10">
        <v>2021</v>
      </c>
      <c r="L2" s="1"/>
    </row>
    <row r="3" spans="1:12" ht="15" thickBot="1" x14ac:dyDescent="0.4">
      <c r="A3" s="9" t="s">
        <v>5</v>
      </c>
      <c r="B3" s="10">
        <v>31</v>
      </c>
      <c r="C3" s="11" t="s">
        <v>6</v>
      </c>
      <c r="D3" s="14" t="s">
        <v>7</v>
      </c>
      <c r="E3" s="10"/>
      <c r="F3" s="10"/>
      <c r="G3" s="10"/>
      <c r="H3" s="10"/>
      <c r="I3" s="10"/>
      <c r="J3" s="13"/>
      <c r="K3" s="10"/>
      <c r="L3" s="1"/>
    </row>
    <row r="4" spans="1:12" ht="15" thickBot="1" x14ac:dyDescent="0.4">
      <c r="A4" s="9" t="s">
        <v>8</v>
      </c>
      <c r="B4" s="10">
        <v>27</v>
      </c>
      <c r="C4" s="11" t="s">
        <v>6</v>
      </c>
      <c r="D4" s="14" t="s">
        <v>7</v>
      </c>
      <c r="E4" s="10"/>
      <c r="F4" s="10"/>
      <c r="G4" s="10"/>
      <c r="H4" s="10"/>
      <c r="I4" s="10"/>
      <c r="J4" s="13"/>
      <c r="K4" s="10"/>
      <c r="L4" s="1"/>
    </row>
    <row r="5" spans="1:12" ht="15" thickBot="1" x14ac:dyDescent="0.4">
      <c r="A5" s="9" t="s">
        <v>73</v>
      </c>
      <c r="B5" s="10">
        <v>0.13</v>
      </c>
      <c r="C5" s="11" t="s">
        <v>3</v>
      </c>
      <c r="D5" s="12" t="s">
        <v>4</v>
      </c>
      <c r="E5" s="10">
        <v>9</v>
      </c>
      <c r="F5" s="10" t="s">
        <v>1</v>
      </c>
      <c r="G5" s="10">
        <v>0.12</v>
      </c>
      <c r="H5" s="10">
        <v>0.18</v>
      </c>
      <c r="I5" s="10">
        <v>0.12</v>
      </c>
      <c r="J5" s="13"/>
      <c r="K5" s="10">
        <v>2021</v>
      </c>
      <c r="L5" s="1"/>
    </row>
    <row r="6" spans="1:12" ht="15" thickBot="1" x14ac:dyDescent="0.4">
      <c r="A6" s="9" t="s">
        <v>9</v>
      </c>
      <c r="B6" s="10">
        <v>0.82</v>
      </c>
      <c r="C6" s="11" t="s">
        <v>3</v>
      </c>
      <c r="D6" s="14" t="s">
        <v>7</v>
      </c>
      <c r="E6" s="10"/>
      <c r="F6" s="10"/>
      <c r="G6" s="10">
        <v>0.75</v>
      </c>
      <c r="H6" s="10">
        <v>1.1200000000000001</v>
      </c>
      <c r="I6" s="10">
        <v>0.75</v>
      </c>
      <c r="J6" s="13"/>
      <c r="K6" s="10"/>
      <c r="L6" s="1"/>
    </row>
    <row r="7" spans="1:12" ht="15" thickBot="1" x14ac:dyDescent="0.4">
      <c r="A7" s="9" t="s">
        <v>10</v>
      </c>
      <c r="B7" s="10">
        <v>0.12</v>
      </c>
      <c r="C7" s="11" t="s">
        <v>3</v>
      </c>
      <c r="D7" s="12" t="s">
        <v>4</v>
      </c>
      <c r="E7" s="10">
        <v>9</v>
      </c>
      <c r="F7" s="10" t="s">
        <v>1</v>
      </c>
      <c r="G7" s="10">
        <v>0</v>
      </c>
      <c r="H7" s="10">
        <v>0.32</v>
      </c>
      <c r="I7" s="10">
        <v>0.09</v>
      </c>
      <c r="J7" s="13"/>
      <c r="K7" s="10">
        <v>2021</v>
      </c>
      <c r="L7" s="1"/>
    </row>
    <row r="8" spans="1:12" ht="15" thickBot="1" x14ac:dyDescent="0.4">
      <c r="A8" s="9" t="s">
        <v>11</v>
      </c>
      <c r="B8" s="10">
        <v>0.38</v>
      </c>
      <c r="C8" s="11" t="s">
        <v>3</v>
      </c>
      <c r="D8" s="12" t="s">
        <v>4</v>
      </c>
      <c r="E8" s="10">
        <v>9</v>
      </c>
      <c r="F8" s="10" t="s">
        <v>1</v>
      </c>
      <c r="G8" s="10">
        <v>0.28999999999999998</v>
      </c>
      <c r="H8" s="10">
        <v>0.52</v>
      </c>
      <c r="I8" s="10">
        <v>0.35</v>
      </c>
      <c r="J8" s="13"/>
      <c r="K8" s="10">
        <v>2021</v>
      </c>
      <c r="L8" s="1"/>
    </row>
    <row r="9" spans="1:12" ht="15" thickBot="1" x14ac:dyDescent="0.4">
      <c r="A9" s="18" t="s">
        <v>12</v>
      </c>
      <c r="B9" s="18"/>
      <c r="C9" s="19"/>
      <c r="D9" s="20"/>
      <c r="E9" s="21"/>
      <c r="F9" s="21"/>
      <c r="G9" s="21"/>
      <c r="H9" s="21"/>
      <c r="I9" s="21"/>
      <c r="J9" s="21"/>
      <c r="K9" s="21"/>
      <c r="L9" s="21"/>
    </row>
    <row r="10" spans="1:12" ht="15" thickBot="1" x14ac:dyDescent="0.4">
      <c r="A10" s="9" t="s">
        <v>13</v>
      </c>
      <c r="B10" s="10">
        <v>6.6</v>
      </c>
      <c r="C10" s="11" t="s">
        <v>3</v>
      </c>
      <c r="D10" s="12" t="s">
        <v>7</v>
      </c>
      <c r="E10" s="10"/>
      <c r="F10" s="10"/>
      <c r="G10" s="10"/>
      <c r="H10" s="10"/>
      <c r="I10" s="10"/>
      <c r="J10" s="13"/>
      <c r="K10" s="10"/>
      <c r="L10" s="1"/>
    </row>
    <row r="11" spans="1:12" ht="15" thickBot="1" x14ac:dyDescent="0.4">
      <c r="A11" s="9" t="s">
        <v>102</v>
      </c>
      <c r="B11" s="10">
        <v>1.1000000000000001</v>
      </c>
      <c r="C11" s="11" t="s">
        <v>3</v>
      </c>
      <c r="D11" s="12" t="s">
        <v>4</v>
      </c>
      <c r="E11" s="10">
        <v>9</v>
      </c>
      <c r="F11" s="10" t="s">
        <v>1</v>
      </c>
      <c r="G11" s="10">
        <v>0</v>
      </c>
      <c r="H11" s="10">
        <v>2</v>
      </c>
      <c r="I11" s="10">
        <v>1.1000000000000001</v>
      </c>
      <c r="J11" s="13"/>
      <c r="K11" s="10">
        <v>2021</v>
      </c>
      <c r="L11" s="1"/>
    </row>
    <row r="12" spans="1:12" ht="15" thickBot="1" x14ac:dyDescent="0.4">
      <c r="A12" s="18" t="s">
        <v>15</v>
      </c>
      <c r="B12" s="18"/>
      <c r="C12" s="19"/>
      <c r="D12" s="20"/>
      <c r="E12" s="21"/>
      <c r="F12" s="21"/>
      <c r="G12" s="21"/>
      <c r="H12" s="21"/>
      <c r="I12" s="21"/>
      <c r="J12" s="21"/>
      <c r="K12" s="21"/>
      <c r="L12" s="21"/>
    </row>
    <row r="13" spans="1:12" ht="15" thickBot="1" x14ac:dyDescent="0.4">
      <c r="A13" s="9" t="s">
        <v>16</v>
      </c>
      <c r="B13" s="10">
        <v>7</v>
      </c>
      <c r="C13" s="11" t="s">
        <v>14</v>
      </c>
      <c r="D13" s="12" t="s">
        <v>4</v>
      </c>
      <c r="E13" s="10">
        <v>9</v>
      </c>
      <c r="F13" s="10" t="s">
        <v>1</v>
      </c>
      <c r="G13" s="10">
        <v>5</v>
      </c>
      <c r="H13" s="10">
        <v>8</v>
      </c>
      <c r="I13" s="10">
        <v>7</v>
      </c>
      <c r="J13" s="13"/>
      <c r="K13" s="10">
        <v>2021</v>
      </c>
      <c r="L13" s="1"/>
    </row>
    <row r="14" spans="1:12" ht="15" thickBot="1" x14ac:dyDescent="0.4">
      <c r="A14" s="9" t="s">
        <v>17</v>
      </c>
      <c r="B14" s="10">
        <v>0.36</v>
      </c>
      <c r="C14" s="11" t="s">
        <v>14</v>
      </c>
      <c r="D14" s="12" t="s">
        <v>4</v>
      </c>
      <c r="E14" s="10">
        <v>9</v>
      </c>
      <c r="F14" s="10" t="s">
        <v>1</v>
      </c>
      <c r="G14" s="10">
        <v>0.28000000000000003</v>
      </c>
      <c r="H14" s="10">
        <v>0.52</v>
      </c>
      <c r="I14" s="10">
        <v>0.34</v>
      </c>
      <c r="J14" s="13"/>
      <c r="K14" s="10">
        <v>2021</v>
      </c>
      <c r="L14" s="1"/>
    </row>
    <row r="15" spans="1:12" ht="15" thickBot="1" x14ac:dyDescent="0.4">
      <c r="A15" s="9" t="s">
        <v>18</v>
      </c>
      <c r="B15" s="10">
        <v>10.3</v>
      </c>
      <c r="C15" s="11" t="s">
        <v>14</v>
      </c>
      <c r="D15" s="12" t="s">
        <v>4</v>
      </c>
      <c r="E15" s="10">
        <v>9</v>
      </c>
      <c r="F15" s="10" t="s">
        <v>1</v>
      </c>
      <c r="G15" s="10">
        <v>7.6</v>
      </c>
      <c r="H15" s="10">
        <v>16.399999999999999</v>
      </c>
      <c r="I15" s="10">
        <v>9.6</v>
      </c>
      <c r="J15" s="13"/>
      <c r="K15" s="10">
        <v>2021</v>
      </c>
      <c r="L15" s="1"/>
    </row>
    <row r="16" spans="1:12" ht="15" thickBot="1" x14ac:dyDescent="0.4">
      <c r="A16" s="9" t="s">
        <v>19</v>
      </c>
      <c r="B16" s="10">
        <v>25</v>
      </c>
      <c r="C16" s="11" t="s">
        <v>14</v>
      </c>
      <c r="D16" s="12" t="s">
        <v>4</v>
      </c>
      <c r="E16" s="10">
        <v>9</v>
      </c>
      <c r="F16" s="10" t="s">
        <v>1</v>
      </c>
      <c r="G16" s="10">
        <v>22</v>
      </c>
      <c r="H16" s="10">
        <v>40</v>
      </c>
      <c r="I16" s="10">
        <v>22</v>
      </c>
      <c r="J16" s="13"/>
      <c r="K16" s="10">
        <v>2021</v>
      </c>
      <c r="L16" s="1"/>
    </row>
    <row r="17" spans="1:12" ht="15" thickBot="1" x14ac:dyDescent="0.4">
      <c r="A17" s="9" t="s">
        <v>20</v>
      </c>
      <c r="B17" s="10">
        <v>197</v>
      </c>
      <c r="C17" s="11" t="s">
        <v>14</v>
      </c>
      <c r="D17" s="12" t="s">
        <v>4</v>
      </c>
      <c r="E17" s="10">
        <v>9</v>
      </c>
      <c r="F17" s="10" t="s">
        <v>1</v>
      </c>
      <c r="G17" s="10">
        <v>160</v>
      </c>
      <c r="H17" s="10">
        <v>234</v>
      </c>
      <c r="I17" s="10">
        <v>192</v>
      </c>
      <c r="J17" s="13"/>
      <c r="K17" s="10">
        <v>2021</v>
      </c>
      <c r="L17" s="1"/>
    </row>
    <row r="18" spans="1:12" ht="15" thickBot="1" x14ac:dyDescent="0.4">
      <c r="A18" s="9" t="s">
        <v>21</v>
      </c>
      <c r="B18" s="10" t="s">
        <v>104</v>
      </c>
      <c r="C18" s="11" t="s">
        <v>14</v>
      </c>
      <c r="D18" s="12" t="s">
        <v>4</v>
      </c>
      <c r="E18" s="10">
        <v>9</v>
      </c>
      <c r="F18" s="10" t="s">
        <v>1</v>
      </c>
      <c r="G18" s="10"/>
      <c r="H18" s="10"/>
      <c r="I18" s="10"/>
      <c r="J18" s="13"/>
      <c r="K18" s="10">
        <v>2021</v>
      </c>
      <c r="L18" s="1"/>
    </row>
    <row r="19" spans="1:12" ht="15" thickBot="1" x14ac:dyDescent="0.4">
      <c r="A19" s="9" t="s">
        <v>22</v>
      </c>
      <c r="B19" s="10">
        <v>0.19</v>
      </c>
      <c r="C19" s="11" t="s">
        <v>14</v>
      </c>
      <c r="D19" s="12" t="s">
        <v>4</v>
      </c>
      <c r="E19" s="10">
        <v>9</v>
      </c>
      <c r="F19" s="10" t="s">
        <v>1</v>
      </c>
      <c r="G19" s="10">
        <v>0.12</v>
      </c>
      <c r="H19" s="10">
        <v>0.34</v>
      </c>
      <c r="I19" s="10">
        <v>0.16</v>
      </c>
      <c r="J19" s="13"/>
      <c r="K19" s="10">
        <v>2021</v>
      </c>
      <c r="L19" s="1"/>
    </row>
    <row r="20" spans="1:12" ht="15" thickBot="1" x14ac:dyDescent="0.4">
      <c r="A20" s="9" t="s">
        <v>23</v>
      </c>
      <c r="B20" s="10">
        <v>4.4999999999999998E-2</v>
      </c>
      <c r="C20" s="11" t="s">
        <v>14</v>
      </c>
      <c r="D20" s="12" t="s">
        <v>4</v>
      </c>
      <c r="E20" s="10">
        <v>9</v>
      </c>
      <c r="F20" s="10" t="s">
        <v>1</v>
      </c>
      <c r="G20" s="10">
        <v>2.8000000000000001E-2</v>
      </c>
      <c r="H20" s="10">
        <v>6.9000000000000006E-2</v>
      </c>
      <c r="I20" s="10">
        <v>4.5999999999999999E-2</v>
      </c>
      <c r="J20" s="13"/>
      <c r="K20" s="10">
        <v>2021</v>
      </c>
      <c r="L20" s="1"/>
    </row>
    <row r="21" spans="1:12" ht="15" thickBot="1" x14ac:dyDescent="0.4">
      <c r="A21" s="9" t="s">
        <v>24</v>
      </c>
      <c r="B21" s="10">
        <v>0.14199999999999999</v>
      </c>
      <c r="C21" s="11" t="s">
        <v>14</v>
      </c>
      <c r="D21" s="12" t="s">
        <v>4</v>
      </c>
      <c r="E21" s="10">
        <v>9</v>
      </c>
      <c r="F21" s="10" t="s">
        <v>1</v>
      </c>
      <c r="G21" s="10">
        <v>0.11</v>
      </c>
      <c r="H21" s="10">
        <v>0.182</v>
      </c>
      <c r="I21" s="10">
        <v>0.14099999999999999</v>
      </c>
      <c r="J21" s="13"/>
      <c r="K21" s="10">
        <v>2021</v>
      </c>
      <c r="L21" s="1"/>
    </row>
    <row r="22" spans="1:12" ht="15" thickBot="1" x14ac:dyDescent="0.4">
      <c r="A22" s="9" t="s">
        <v>103</v>
      </c>
      <c r="B22" s="10" t="s">
        <v>104</v>
      </c>
      <c r="C22" s="11" t="s">
        <v>105</v>
      </c>
      <c r="D22" s="12" t="s">
        <v>4</v>
      </c>
      <c r="E22" s="10">
        <v>9</v>
      </c>
      <c r="F22" s="10" t="s">
        <v>1</v>
      </c>
      <c r="G22" s="10"/>
      <c r="H22" s="10"/>
      <c r="I22" s="10"/>
      <c r="J22" s="13"/>
      <c r="K22" s="10">
        <v>2021</v>
      </c>
      <c r="L22" s="1"/>
    </row>
    <row r="23" spans="1:12" ht="15" thickBot="1" x14ac:dyDescent="0.4">
      <c r="A23" s="18" t="s">
        <v>106</v>
      </c>
      <c r="B23" s="18"/>
      <c r="C23" s="19"/>
      <c r="D23" s="20"/>
      <c r="E23" s="21"/>
      <c r="F23" s="21"/>
      <c r="G23" s="21"/>
      <c r="H23" s="21"/>
      <c r="I23" s="21"/>
      <c r="J23" s="21"/>
      <c r="K23" s="21"/>
      <c r="L23" s="21"/>
    </row>
    <row r="24" spans="1:12" ht="15" thickBot="1" x14ac:dyDescent="0.4">
      <c r="A24" s="9" t="s">
        <v>107</v>
      </c>
      <c r="B24" s="10">
        <v>139</v>
      </c>
      <c r="C24" s="11" t="s">
        <v>14</v>
      </c>
      <c r="D24" s="12" t="s">
        <v>4</v>
      </c>
      <c r="E24" s="10">
        <v>9</v>
      </c>
      <c r="F24" s="10" t="s">
        <v>1</v>
      </c>
      <c r="G24" s="10">
        <v>114</v>
      </c>
      <c r="H24" s="10">
        <v>203</v>
      </c>
      <c r="I24" s="10">
        <v>130</v>
      </c>
      <c r="J24" s="13"/>
      <c r="K24" s="10">
        <v>2021</v>
      </c>
      <c r="L24" s="1"/>
    </row>
    <row r="25" spans="1:12" ht="15" thickBot="1" x14ac:dyDescent="0.4">
      <c r="A25" s="9" t="s">
        <v>108</v>
      </c>
      <c r="B25" s="10">
        <v>4.9000000000000002E-2</v>
      </c>
      <c r="C25" s="11" t="s">
        <v>14</v>
      </c>
      <c r="D25" s="12" t="s">
        <v>4</v>
      </c>
      <c r="E25" s="10">
        <v>9</v>
      </c>
      <c r="F25" s="10" t="s">
        <v>1</v>
      </c>
      <c r="G25" s="10">
        <v>3.5999999999999997E-2</v>
      </c>
      <c r="H25" s="10">
        <v>8.7999999999999995E-2</v>
      </c>
      <c r="I25" s="10">
        <v>4.4999999999999998E-2</v>
      </c>
      <c r="J25" s="13"/>
      <c r="K25" s="10">
        <v>2021</v>
      </c>
      <c r="L25" s="1"/>
    </row>
    <row r="26" spans="1:12" ht="15" thickBot="1" x14ac:dyDescent="0.4">
      <c r="A26" s="9" t="s">
        <v>109</v>
      </c>
      <c r="B26" s="10">
        <v>9.8000000000000004E-2</v>
      </c>
      <c r="C26" s="11" t="s">
        <v>14</v>
      </c>
      <c r="D26" s="12" t="s">
        <v>4</v>
      </c>
      <c r="E26" s="10">
        <v>9</v>
      </c>
      <c r="F26" s="10" t="s">
        <v>1</v>
      </c>
      <c r="G26" s="10">
        <v>0.08</v>
      </c>
      <c r="H26" s="10">
        <v>0.15</v>
      </c>
      <c r="I26" s="10">
        <v>0.09</v>
      </c>
      <c r="J26" s="13"/>
      <c r="K26" s="10">
        <v>2021</v>
      </c>
      <c r="L26" s="1"/>
    </row>
    <row r="27" spans="1:12" ht="15" thickBot="1" x14ac:dyDescent="0.4">
      <c r="A27" s="9" t="s">
        <v>110</v>
      </c>
      <c r="B27" s="10">
        <v>0.91</v>
      </c>
      <c r="C27" s="11" t="s">
        <v>14</v>
      </c>
      <c r="D27" s="12" t="s">
        <v>4</v>
      </c>
      <c r="E27" s="10">
        <v>9</v>
      </c>
      <c r="F27" s="10" t="s">
        <v>1</v>
      </c>
      <c r="G27" s="10">
        <v>0.8</v>
      </c>
      <c r="H27" s="10">
        <v>1.33</v>
      </c>
      <c r="I27" s="10">
        <v>0.85</v>
      </c>
      <c r="J27" s="13"/>
      <c r="K27" s="10">
        <v>2021</v>
      </c>
      <c r="L27" s="1"/>
    </row>
    <row r="28" spans="1:12" ht="15" thickBot="1" x14ac:dyDescent="0.4">
      <c r="A28" s="9" t="s">
        <v>111</v>
      </c>
      <c r="B28" s="10">
        <v>0.29199999999999998</v>
      </c>
      <c r="C28" s="11" t="s">
        <v>14</v>
      </c>
      <c r="D28" s="12" t="s">
        <v>4</v>
      </c>
      <c r="E28" s="10">
        <v>9</v>
      </c>
      <c r="F28" s="10" t="s">
        <v>1</v>
      </c>
      <c r="G28" s="10">
        <v>0.17199999999999999</v>
      </c>
      <c r="H28" s="10">
        <v>0.51500000000000001</v>
      </c>
      <c r="I28" s="10">
        <v>0.26</v>
      </c>
      <c r="J28" s="13"/>
      <c r="K28" s="10">
        <v>2021</v>
      </c>
      <c r="L28" s="1"/>
    </row>
    <row r="29" spans="1:12" ht="15" thickBot="1" x14ac:dyDescent="0.4">
      <c r="A29" s="9" t="s">
        <v>112</v>
      </c>
      <c r="B29" s="10">
        <v>0.46</v>
      </c>
      <c r="C29" s="11" t="s">
        <v>105</v>
      </c>
      <c r="D29" s="12" t="s">
        <v>4</v>
      </c>
      <c r="E29" s="10">
        <v>9</v>
      </c>
      <c r="F29" s="10" t="s">
        <v>1</v>
      </c>
      <c r="G29" s="10">
        <v>0</v>
      </c>
      <c r="H29" s="10">
        <v>4.1399999999999997</v>
      </c>
      <c r="I29" s="10">
        <v>0</v>
      </c>
      <c r="J29" s="13"/>
      <c r="K29" s="10">
        <v>2021</v>
      </c>
      <c r="L29" s="1"/>
    </row>
    <row r="30" spans="1:12" ht="15" thickBot="1" x14ac:dyDescent="0.4">
      <c r="A30" s="9" t="s">
        <v>113</v>
      </c>
      <c r="B30" s="10">
        <v>42</v>
      </c>
      <c r="C30" s="11" t="s">
        <v>105</v>
      </c>
      <c r="D30" s="12" t="s">
        <v>4</v>
      </c>
      <c r="E30" s="10">
        <v>9</v>
      </c>
      <c r="F30" s="10" t="s">
        <v>1</v>
      </c>
      <c r="G30" s="10">
        <v>26</v>
      </c>
      <c r="H30" s="10">
        <v>55</v>
      </c>
      <c r="I30" s="10">
        <v>40</v>
      </c>
      <c r="J30" s="13"/>
      <c r="K30" s="10">
        <v>2021</v>
      </c>
      <c r="L30" s="1"/>
    </row>
  </sheetData>
  <mergeCells count="8">
    <mergeCell ref="A23:C23"/>
    <mergeCell ref="D23:L23"/>
    <mergeCell ref="A1:C1"/>
    <mergeCell ref="D1:L1"/>
    <mergeCell ref="A9:C9"/>
    <mergeCell ref="D9:L9"/>
    <mergeCell ref="A12:C12"/>
    <mergeCell ref="D12:L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2D19-BC93-4F95-8B6C-E6520B00BACC}">
  <dimension ref="A1:AG61"/>
  <sheetViews>
    <sheetView zoomScale="70" zoomScaleNormal="70" workbookViewId="0">
      <selection activeCell="G9" sqref="G9"/>
    </sheetView>
  </sheetViews>
  <sheetFormatPr defaultRowHeight="14.5" x14ac:dyDescent="0.35"/>
  <cols>
    <col min="1" max="1" width="14.81640625" bestFit="1" customWidth="1"/>
    <col min="2" max="2" width="8.1796875" customWidth="1"/>
    <col min="3" max="3" width="7.81640625" customWidth="1"/>
    <col min="4" max="4" width="15.7265625" customWidth="1"/>
    <col min="5" max="5" width="7.7265625" customWidth="1"/>
    <col min="6" max="6" width="7" customWidth="1"/>
    <col min="7" max="7" width="14.54296875" customWidth="1"/>
    <col min="8" max="8" width="9.54296875" customWidth="1"/>
    <col min="9" max="9" width="7.54296875" customWidth="1"/>
    <col min="10" max="10" width="11.7265625" customWidth="1"/>
    <col min="11" max="11" width="12.1796875" customWidth="1"/>
    <col min="12" max="12" width="10.81640625" customWidth="1"/>
    <col min="13" max="13" width="10.1796875" customWidth="1"/>
    <col min="14" max="14" width="7.54296875" customWidth="1"/>
    <col min="15" max="15" width="8.7265625" customWidth="1"/>
    <col min="16" max="16" width="11.54296875" customWidth="1"/>
    <col min="17" max="17" width="10.1796875" customWidth="1"/>
    <col min="18" max="18" width="7.1796875" customWidth="1"/>
    <col min="19" max="19" width="11.54296875" customWidth="1"/>
    <col min="20" max="20" width="10" customWidth="1"/>
    <col min="21" max="21" width="11.26953125" customWidth="1"/>
    <col min="22" max="22" width="12.54296875" customWidth="1"/>
    <col min="23" max="23" width="10.1796875" customWidth="1"/>
    <col min="24" max="24" width="14.6328125" customWidth="1"/>
    <col min="25" max="25" width="13.81640625" customWidth="1"/>
    <col min="26" max="26" width="9.90625" customWidth="1"/>
    <col min="27" max="27" width="9.7265625" customWidth="1"/>
    <col min="28" max="28" width="13.54296875" customWidth="1"/>
    <col min="29" max="29" width="10.453125" customWidth="1"/>
    <col min="30" max="32" width="13" customWidth="1"/>
    <col min="33" max="33" width="106.7265625" bestFit="1" customWidth="1"/>
  </cols>
  <sheetData>
    <row r="1" spans="1:33" ht="43.5" x14ac:dyDescent="0.35">
      <c r="A1" s="2" t="s">
        <v>0</v>
      </c>
      <c r="B1" s="2" t="s">
        <v>26</v>
      </c>
      <c r="C1" s="3" t="s">
        <v>27</v>
      </c>
      <c r="D1" s="4" t="s">
        <v>29</v>
      </c>
      <c r="E1" s="4" t="s">
        <v>30</v>
      </c>
      <c r="F1" s="5" t="s">
        <v>31</v>
      </c>
      <c r="G1" s="4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48</v>
      </c>
      <c r="R1" s="6" t="s">
        <v>49</v>
      </c>
      <c r="S1" s="6" t="s">
        <v>44</v>
      </c>
      <c r="T1" s="15" t="s">
        <v>42</v>
      </c>
      <c r="U1" s="15" t="s">
        <v>82</v>
      </c>
      <c r="V1" s="15" t="s">
        <v>83</v>
      </c>
      <c r="W1" s="15" t="s">
        <v>84</v>
      </c>
      <c r="X1" s="15" t="s">
        <v>87</v>
      </c>
      <c r="Y1" s="15" t="s">
        <v>88</v>
      </c>
      <c r="Z1" s="15" t="s">
        <v>85</v>
      </c>
      <c r="AA1" s="15" t="s">
        <v>86</v>
      </c>
      <c r="AB1" s="15" t="s">
        <v>89</v>
      </c>
      <c r="AC1" s="15" t="s">
        <v>51</v>
      </c>
      <c r="AD1" s="15" t="s">
        <v>50</v>
      </c>
      <c r="AE1" s="15" t="s">
        <v>92</v>
      </c>
      <c r="AF1" s="15" t="s">
        <v>96</v>
      </c>
      <c r="AG1" s="16" t="s">
        <v>140</v>
      </c>
    </row>
    <row r="2" spans="1:33" x14ac:dyDescent="0.35">
      <c r="A2" s="2" t="s">
        <v>25</v>
      </c>
      <c r="B2" s="2">
        <v>100</v>
      </c>
      <c r="C2" s="2" t="s">
        <v>28</v>
      </c>
      <c r="D2" s="2">
        <v>33</v>
      </c>
      <c r="E2" s="2">
        <v>0.64</v>
      </c>
      <c r="F2" s="2">
        <v>0.22</v>
      </c>
      <c r="G2" s="2">
        <v>4.8600000000000003</v>
      </c>
      <c r="H2" s="2">
        <v>17</v>
      </c>
      <c r="I2" s="2">
        <v>0.26</v>
      </c>
      <c r="J2" s="2">
        <v>12.5</v>
      </c>
      <c r="K2" s="2">
        <v>23</v>
      </c>
      <c r="L2" s="2">
        <v>161</v>
      </c>
      <c r="M2" s="2">
        <v>0</v>
      </c>
      <c r="N2" s="2">
        <v>0.11</v>
      </c>
      <c r="O2" s="2">
        <v>3.5000000000000003E-2</v>
      </c>
      <c r="P2" s="2">
        <v>0.36799999999999999</v>
      </c>
      <c r="Q2" s="2">
        <v>0</v>
      </c>
      <c r="R2" s="2">
        <v>0</v>
      </c>
      <c r="S2" s="2">
        <v>0</v>
      </c>
      <c r="T2" s="2">
        <v>59</v>
      </c>
      <c r="U2" s="2">
        <v>0.02</v>
      </c>
      <c r="V2" s="2">
        <v>0.02</v>
      </c>
      <c r="W2" s="2">
        <v>0.39</v>
      </c>
      <c r="X2" s="2">
        <v>0.13</v>
      </c>
      <c r="Y2" s="2">
        <v>0.05</v>
      </c>
      <c r="Z2" s="2">
        <v>0</v>
      </c>
      <c r="AA2" s="2">
        <v>24</v>
      </c>
      <c r="AB2" s="2">
        <v>0</v>
      </c>
      <c r="AC2" s="2">
        <v>1</v>
      </c>
      <c r="AD2" s="2">
        <v>0</v>
      </c>
      <c r="AE2" s="2">
        <v>0.28999999999999998</v>
      </c>
      <c r="AF2" s="2">
        <v>2.2000000000000002</v>
      </c>
      <c r="AG2" s="17" t="s">
        <v>142</v>
      </c>
    </row>
    <row r="3" spans="1:33" x14ac:dyDescent="0.35">
      <c r="A3" s="2" t="s">
        <v>43</v>
      </c>
      <c r="B3" s="2">
        <v>100</v>
      </c>
      <c r="C3" s="2" t="s">
        <v>28</v>
      </c>
      <c r="D3" s="2">
        <v>54</v>
      </c>
      <c r="E3" s="2">
        <v>0.46</v>
      </c>
      <c r="F3" s="2">
        <v>0.21</v>
      </c>
      <c r="G3" s="2">
        <v>11.4</v>
      </c>
      <c r="H3" s="2">
        <v>12</v>
      </c>
      <c r="I3" s="2">
        <v>0.05</v>
      </c>
      <c r="J3" s="2">
        <v>13.4</v>
      </c>
      <c r="K3" s="2">
        <v>5</v>
      </c>
      <c r="L3" s="2">
        <v>137</v>
      </c>
      <c r="M3" s="2">
        <v>0</v>
      </c>
      <c r="N3" s="2">
        <v>0.11</v>
      </c>
      <c r="O3" s="2">
        <v>9.5000000000000001E-2</v>
      </c>
      <c r="P3" s="2">
        <v>0.86599999999999999</v>
      </c>
      <c r="Q3" s="2">
        <v>0</v>
      </c>
      <c r="R3" s="2">
        <v>0</v>
      </c>
      <c r="S3" s="2">
        <v>0</v>
      </c>
      <c r="T3" s="2">
        <v>48</v>
      </c>
      <c r="U3" s="2">
        <v>0.08</v>
      </c>
      <c r="V3" s="2">
        <v>0.03</v>
      </c>
      <c r="W3" s="2">
        <v>0.5</v>
      </c>
      <c r="X3" s="2">
        <v>0.21</v>
      </c>
      <c r="Y3" s="2">
        <v>0.11</v>
      </c>
      <c r="Z3" s="2">
        <v>0</v>
      </c>
      <c r="AA3" s="2">
        <v>18</v>
      </c>
      <c r="AB3" s="2">
        <v>0</v>
      </c>
      <c r="AC3" s="2">
        <v>3</v>
      </c>
      <c r="AD3" s="2">
        <v>0</v>
      </c>
      <c r="AE3" s="2">
        <v>0.02</v>
      </c>
      <c r="AF3" s="2">
        <v>0.7</v>
      </c>
      <c r="AG3" s="17" t="s">
        <v>143</v>
      </c>
    </row>
    <row r="4" spans="1:33" x14ac:dyDescent="0.35">
      <c r="A4" s="2" t="s">
        <v>45</v>
      </c>
      <c r="B4" s="2">
        <v>100</v>
      </c>
      <c r="C4" s="2" t="s">
        <v>28</v>
      </c>
      <c r="D4" s="2">
        <v>571</v>
      </c>
      <c r="E4" s="2">
        <v>18.899999999999999</v>
      </c>
      <c r="F4" s="2">
        <v>48.4</v>
      </c>
      <c r="G4" s="2">
        <v>24.5</v>
      </c>
      <c r="H4" s="2">
        <v>116</v>
      </c>
      <c r="I4" s="2">
        <v>4.37</v>
      </c>
      <c r="J4" s="2">
        <v>302</v>
      </c>
      <c r="K4" s="2">
        <v>732</v>
      </c>
      <c r="L4" s="2">
        <v>657</v>
      </c>
      <c r="M4" s="2">
        <v>0</v>
      </c>
      <c r="N4" s="2">
        <v>5.58</v>
      </c>
      <c r="O4" s="2">
        <v>1.88</v>
      </c>
      <c r="P4" s="2">
        <v>2.63</v>
      </c>
      <c r="Q4" s="2">
        <v>17.8</v>
      </c>
      <c r="R4" s="2">
        <v>0</v>
      </c>
      <c r="S4" s="2">
        <v>0</v>
      </c>
      <c r="T4" s="2">
        <v>1.4</v>
      </c>
      <c r="U4" s="2">
        <v>1.5</v>
      </c>
      <c r="V4" s="2">
        <v>0.36</v>
      </c>
      <c r="W4" s="2">
        <v>8.3000000000000007</v>
      </c>
      <c r="X4" s="2">
        <v>1.1000000000000001</v>
      </c>
      <c r="Y4" s="2">
        <v>1.3</v>
      </c>
      <c r="Z4" s="2">
        <v>0</v>
      </c>
      <c r="AA4" s="2">
        <v>227</v>
      </c>
      <c r="AB4" s="2">
        <v>0</v>
      </c>
      <c r="AC4" s="2">
        <v>3</v>
      </c>
      <c r="AD4" s="2">
        <v>0</v>
      </c>
      <c r="AE4" s="2">
        <v>35</v>
      </c>
      <c r="AF4" s="2">
        <v>0</v>
      </c>
      <c r="AG4" s="17" t="s">
        <v>144</v>
      </c>
    </row>
    <row r="5" spans="1:33" x14ac:dyDescent="0.35">
      <c r="A5" s="2" t="s">
        <v>46</v>
      </c>
      <c r="B5" s="2">
        <v>1</v>
      </c>
      <c r="C5" s="2" t="s">
        <v>47</v>
      </c>
      <c r="D5" s="2">
        <v>88.2</v>
      </c>
      <c r="E5" s="2">
        <v>7.4399999999999995</v>
      </c>
      <c r="F5" s="2">
        <v>5.9760000000000009</v>
      </c>
      <c r="G5" s="2">
        <v>0.12</v>
      </c>
      <c r="H5" s="2">
        <v>28.799999999999997</v>
      </c>
      <c r="I5" s="2">
        <v>1.002</v>
      </c>
      <c r="J5" s="2">
        <v>6.84</v>
      </c>
      <c r="K5" s="2">
        <v>110.4</v>
      </c>
      <c r="L5" s="2">
        <v>79.2</v>
      </c>
      <c r="M5" s="2">
        <v>77.400000000000006</v>
      </c>
      <c r="N5" s="2">
        <v>0.74399999999999999</v>
      </c>
      <c r="O5" s="2">
        <v>0</v>
      </c>
      <c r="P5" s="2">
        <v>0</v>
      </c>
      <c r="Q5" s="2">
        <v>18.66</v>
      </c>
      <c r="R5" s="2">
        <v>29.46</v>
      </c>
      <c r="S5" s="2">
        <v>0</v>
      </c>
      <c r="T5" s="2">
        <v>0</v>
      </c>
      <c r="U5" s="2">
        <v>4.6199999999999998E-2</v>
      </c>
      <c r="V5" s="2">
        <v>0.25140000000000001</v>
      </c>
      <c r="W5" s="2">
        <v>0</v>
      </c>
      <c r="X5" s="2">
        <v>0</v>
      </c>
      <c r="Y5" s="2">
        <v>3.78E-2</v>
      </c>
      <c r="Z5" s="2">
        <v>0</v>
      </c>
      <c r="AA5" s="2">
        <v>42.599999999999994</v>
      </c>
      <c r="AB5" s="2">
        <v>0.6120000000000001</v>
      </c>
      <c r="AC5" s="2">
        <v>108</v>
      </c>
      <c r="AD5" s="2">
        <v>59.040000000000006</v>
      </c>
      <c r="AE5" s="2">
        <v>0</v>
      </c>
      <c r="AF5" s="2">
        <v>0</v>
      </c>
      <c r="AG5" s="17" t="s">
        <v>145</v>
      </c>
    </row>
    <row r="6" spans="1:33" x14ac:dyDescent="0.35">
      <c r="A6" s="2" t="s">
        <v>55</v>
      </c>
      <c r="B6" s="2">
        <v>100</v>
      </c>
      <c r="C6" s="2" t="s">
        <v>28</v>
      </c>
      <c r="D6" s="2">
        <v>359</v>
      </c>
      <c r="E6" s="2">
        <v>7.04</v>
      </c>
      <c r="F6" s="2">
        <v>1.03</v>
      </c>
      <c r="G6" s="2">
        <v>80.3</v>
      </c>
      <c r="H6" s="2">
        <v>4</v>
      </c>
      <c r="I6" s="2">
        <v>0.14000000000000001</v>
      </c>
      <c r="J6" s="2">
        <v>26.5</v>
      </c>
      <c r="K6" s="2">
        <v>108</v>
      </c>
      <c r="L6" s="2">
        <v>82</v>
      </c>
      <c r="M6" s="2">
        <v>0</v>
      </c>
      <c r="N6" s="2">
        <v>1.35</v>
      </c>
      <c r="O6" s="2">
        <v>0.214</v>
      </c>
      <c r="P6" s="2">
        <v>0.98099999999999998</v>
      </c>
      <c r="Q6" s="2">
        <v>6.6</v>
      </c>
      <c r="R6" s="2">
        <v>0</v>
      </c>
      <c r="S6" s="2">
        <v>64.2</v>
      </c>
      <c r="T6" s="2">
        <v>0</v>
      </c>
      <c r="U6" s="2">
        <v>6.5000000000000002E-2</v>
      </c>
      <c r="V6" s="2">
        <v>0.08</v>
      </c>
      <c r="W6" s="2">
        <v>1.43</v>
      </c>
      <c r="X6" s="2">
        <v>0</v>
      </c>
      <c r="Y6" s="2">
        <v>5.8000000000000003E-2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17" t="s">
        <v>146</v>
      </c>
    </row>
    <row r="7" spans="1:33" x14ac:dyDescent="0.35">
      <c r="A7" s="2" t="s">
        <v>56</v>
      </c>
      <c r="B7" s="2">
        <v>100</v>
      </c>
      <c r="C7" s="2" t="s">
        <v>28</v>
      </c>
      <c r="D7" s="2">
        <v>366</v>
      </c>
      <c r="E7" s="2">
        <v>7.25</v>
      </c>
      <c r="F7" s="2">
        <v>3.31</v>
      </c>
      <c r="G7" s="2">
        <v>76.7</v>
      </c>
      <c r="H7" s="2">
        <v>8</v>
      </c>
      <c r="I7" s="2">
        <v>1.24</v>
      </c>
      <c r="J7" s="2">
        <v>115</v>
      </c>
      <c r="K7" s="2">
        <v>303</v>
      </c>
      <c r="L7" s="2">
        <v>250</v>
      </c>
      <c r="M7" s="2">
        <v>0</v>
      </c>
      <c r="N7" s="2">
        <v>1.85</v>
      </c>
      <c r="O7" s="2">
        <v>0.26600000000000001</v>
      </c>
      <c r="P7" s="2">
        <v>2.7</v>
      </c>
      <c r="Q7" s="2">
        <v>14.8</v>
      </c>
      <c r="R7" s="2">
        <v>0</v>
      </c>
      <c r="S7" s="2">
        <v>63.9</v>
      </c>
      <c r="T7" s="2">
        <v>0</v>
      </c>
      <c r="U7" s="2">
        <v>0.32600000000000001</v>
      </c>
      <c r="V7" s="2">
        <v>0.10199999999999999</v>
      </c>
      <c r="W7" s="2">
        <v>6.27</v>
      </c>
      <c r="X7" s="2">
        <v>0</v>
      </c>
      <c r="Y7" s="2">
        <v>0.161</v>
      </c>
      <c r="Z7" s="2">
        <v>4.99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17" t="s">
        <v>147</v>
      </c>
    </row>
    <row r="8" spans="1:33" x14ac:dyDescent="0.35">
      <c r="A8" s="2" t="s">
        <v>57</v>
      </c>
      <c r="B8" s="2">
        <v>100</v>
      </c>
      <c r="C8" s="2" t="s">
        <v>28</v>
      </c>
      <c r="D8" s="2">
        <v>379</v>
      </c>
      <c r="E8" s="2">
        <v>13.5</v>
      </c>
      <c r="F8" s="2">
        <v>5.89</v>
      </c>
      <c r="G8" s="2">
        <v>68.7</v>
      </c>
      <c r="H8" s="2">
        <v>46</v>
      </c>
      <c r="I8" s="2">
        <v>4.34</v>
      </c>
      <c r="J8" s="2">
        <v>126</v>
      </c>
      <c r="K8" s="2">
        <v>387</v>
      </c>
      <c r="L8" s="2">
        <v>350</v>
      </c>
      <c r="M8" s="2">
        <v>1</v>
      </c>
      <c r="N8" s="2">
        <v>2.74</v>
      </c>
      <c r="O8" s="2">
        <v>0.42799999999999999</v>
      </c>
      <c r="P8" s="2">
        <v>3.23</v>
      </c>
      <c r="Q8" s="2">
        <v>25.4</v>
      </c>
      <c r="R8" s="2">
        <v>0</v>
      </c>
      <c r="S8" s="2">
        <v>160</v>
      </c>
      <c r="T8" s="2">
        <v>0</v>
      </c>
      <c r="U8" s="2">
        <v>0.40600000000000003</v>
      </c>
      <c r="V8" s="2">
        <v>0</v>
      </c>
      <c r="W8" s="2">
        <v>0.99299999999999999</v>
      </c>
      <c r="X8" s="2">
        <v>0</v>
      </c>
      <c r="Y8" s="2">
        <v>0.13500000000000001</v>
      </c>
      <c r="Z8" s="2">
        <v>21.9</v>
      </c>
      <c r="AA8" s="2">
        <v>32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t="s">
        <v>141</v>
      </c>
    </row>
    <row r="9" spans="1:33" x14ac:dyDescent="0.35">
      <c r="A9" s="2" t="s">
        <v>58</v>
      </c>
      <c r="B9" s="2">
        <v>100</v>
      </c>
      <c r="C9" s="2" t="s">
        <v>28</v>
      </c>
      <c r="D9" s="2">
        <v>112</v>
      </c>
      <c r="E9" s="2">
        <v>22.5</v>
      </c>
      <c r="F9" s="2">
        <v>1.93</v>
      </c>
      <c r="G9" s="2">
        <v>0</v>
      </c>
      <c r="H9" s="2">
        <v>4</v>
      </c>
      <c r="I9" s="2">
        <v>0.35</v>
      </c>
      <c r="J9" s="2">
        <v>26.2</v>
      </c>
      <c r="K9" s="2">
        <v>215</v>
      </c>
      <c r="L9" s="2">
        <v>330</v>
      </c>
      <c r="M9" s="2">
        <v>66</v>
      </c>
      <c r="N9" s="2">
        <v>0.65</v>
      </c>
      <c r="O9" s="2">
        <v>4.0000000000000001E-3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t="s">
        <v>141</v>
      </c>
    </row>
    <row r="10" spans="1:33" x14ac:dyDescent="0.35">
      <c r="A10" s="2" t="s">
        <v>60</v>
      </c>
      <c r="B10" s="2">
        <v>100</v>
      </c>
      <c r="C10" s="2" t="s">
        <v>28</v>
      </c>
      <c r="D10" s="2">
        <v>533</v>
      </c>
      <c r="E10" s="2">
        <v>17.399999999999999</v>
      </c>
      <c r="F10" s="2">
        <v>38.9</v>
      </c>
      <c r="G10" s="2">
        <v>36.299999999999997</v>
      </c>
      <c r="H10" s="2">
        <v>37</v>
      </c>
      <c r="I10" s="2">
        <v>6.7</v>
      </c>
      <c r="J10" s="2">
        <v>292</v>
      </c>
      <c r="K10" s="2">
        <v>593</v>
      </c>
      <c r="L10" s="2">
        <v>660</v>
      </c>
      <c r="M10" s="2">
        <v>12</v>
      </c>
      <c r="N10" s="2">
        <v>5.8</v>
      </c>
      <c r="O10" s="2">
        <v>2.2000000000000002</v>
      </c>
      <c r="P10" s="2">
        <v>1.7</v>
      </c>
      <c r="Q10" s="2">
        <v>20</v>
      </c>
      <c r="R10" s="2">
        <v>0</v>
      </c>
      <c r="S10" s="2">
        <v>0</v>
      </c>
      <c r="T10" s="2">
        <v>0.5</v>
      </c>
      <c r="U10" s="2">
        <v>0.42</v>
      </c>
      <c r="V10" s="2">
        <v>0.06</v>
      </c>
      <c r="W10" s="2">
        <v>1.1000000000000001</v>
      </c>
      <c r="X10" s="2">
        <v>0.86</v>
      </c>
      <c r="Y10" s="2">
        <v>0.42</v>
      </c>
      <c r="Z10" s="2">
        <v>0</v>
      </c>
      <c r="AA10" s="2">
        <v>25</v>
      </c>
      <c r="AB10" s="2">
        <v>0</v>
      </c>
      <c r="AC10" s="2">
        <v>0</v>
      </c>
      <c r="AD10" s="2">
        <v>0</v>
      </c>
      <c r="AE10" s="2">
        <v>0.9</v>
      </c>
      <c r="AF10" s="2">
        <v>34</v>
      </c>
      <c r="AG10" s="17" t="s">
        <v>148</v>
      </c>
    </row>
    <row r="11" spans="1:33" x14ac:dyDescent="0.35">
      <c r="A11" s="2" t="s">
        <v>62</v>
      </c>
      <c r="B11" s="2">
        <v>100</v>
      </c>
      <c r="C11" s="2" t="s">
        <v>28</v>
      </c>
      <c r="D11" s="2">
        <v>659</v>
      </c>
      <c r="E11" s="2">
        <v>14.3</v>
      </c>
      <c r="F11" s="2">
        <v>67.099999999999994</v>
      </c>
      <c r="G11" s="2">
        <v>11.7</v>
      </c>
      <c r="H11" s="2">
        <v>160</v>
      </c>
      <c r="I11" s="2">
        <v>2.4</v>
      </c>
      <c r="J11" s="2">
        <v>376</v>
      </c>
      <c r="K11" s="2">
        <v>725</v>
      </c>
      <c r="L11" s="2">
        <v>659</v>
      </c>
      <c r="M11" s="2">
        <v>3</v>
      </c>
      <c r="N11" s="2">
        <v>4.0999999999999996</v>
      </c>
      <c r="O11" s="2">
        <v>1.7</v>
      </c>
      <c r="P11" s="2">
        <v>1.2</v>
      </c>
      <c r="Q11" s="2">
        <v>1917</v>
      </c>
      <c r="R11" s="2">
        <v>0</v>
      </c>
      <c r="S11" s="2">
        <v>0</v>
      </c>
      <c r="T11" s="2">
        <v>0.7</v>
      </c>
      <c r="U11" s="2">
        <v>0.62</v>
      </c>
      <c r="V11" s="2">
        <v>0.04</v>
      </c>
      <c r="W11" s="2">
        <v>0.3</v>
      </c>
      <c r="X11" s="2">
        <v>0.18</v>
      </c>
      <c r="Y11" s="2">
        <v>0.1</v>
      </c>
      <c r="Z11" s="2">
        <v>0</v>
      </c>
      <c r="AA11" s="2">
        <v>22</v>
      </c>
      <c r="AB11" s="2">
        <v>0</v>
      </c>
      <c r="AC11" s="2">
        <v>0</v>
      </c>
      <c r="AD11" s="2">
        <v>0</v>
      </c>
      <c r="AE11" s="2">
        <v>5.7</v>
      </c>
      <c r="AF11" s="2">
        <v>0</v>
      </c>
      <c r="AG11" s="17" t="s">
        <v>149</v>
      </c>
    </row>
    <row r="12" spans="1:33" x14ac:dyDescent="0.35">
      <c r="A12" s="2" t="s">
        <v>64</v>
      </c>
      <c r="B12" s="2">
        <v>100</v>
      </c>
      <c r="C12" s="2" t="s">
        <v>28</v>
      </c>
      <c r="D12" s="2">
        <v>36</v>
      </c>
      <c r="E12" s="2">
        <v>0.83</v>
      </c>
      <c r="F12" s="2">
        <v>0.05</v>
      </c>
      <c r="G12" s="2">
        <v>8.61</v>
      </c>
      <c r="H12" s="2">
        <v>15</v>
      </c>
      <c r="I12" s="2">
        <v>0.28000000000000003</v>
      </c>
      <c r="J12" s="2">
        <v>9</v>
      </c>
      <c r="K12" s="2">
        <v>34</v>
      </c>
      <c r="L12" s="2">
        <v>182</v>
      </c>
      <c r="M12" s="2">
        <v>1</v>
      </c>
      <c r="N12" s="2">
        <v>0.2</v>
      </c>
      <c r="O12" s="2">
        <v>3.5000000000000003E-2</v>
      </c>
      <c r="P12" s="2">
        <v>0.14399999999999999</v>
      </c>
      <c r="Q12" s="2">
        <v>0</v>
      </c>
      <c r="R12" s="2">
        <v>0</v>
      </c>
      <c r="S12" s="2">
        <v>0</v>
      </c>
      <c r="T12" s="2">
        <v>8.1999999999999993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17" t="s">
        <v>150</v>
      </c>
    </row>
    <row r="13" spans="1:33" x14ac:dyDescent="0.35">
      <c r="A13" s="2" t="s">
        <v>65</v>
      </c>
      <c r="B13" s="2">
        <v>100</v>
      </c>
      <c r="C13" s="2" t="s">
        <v>28</v>
      </c>
      <c r="D13" s="2">
        <v>27</v>
      </c>
      <c r="E13" s="2">
        <v>0.9</v>
      </c>
      <c r="F13" s="2">
        <v>0.13</v>
      </c>
      <c r="G13" s="2">
        <v>6.65</v>
      </c>
      <c r="H13" s="2">
        <v>6</v>
      </c>
      <c r="I13" s="2">
        <v>0.35</v>
      </c>
      <c r="J13" s="2">
        <v>11</v>
      </c>
      <c r="K13" s="2">
        <v>27</v>
      </c>
      <c r="L13" s="2">
        <v>213</v>
      </c>
      <c r="M13" s="2">
        <v>0</v>
      </c>
      <c r="N13" s="2">
        <v>0.2</v>
      </c>
      <c r="O13" s="2">
        <v>0.04</v>
      </c>
      <c r="P13" s="2">
        <v>0.13300000000000001</v>
      </c>
      <c r="Q13" s="2">
        <v>0</v>
      </c>
      <c r="R13" s="2">
        <v>0</v>
      </c>
      <c r="S13" s="2">
        <v>0</v>
      </c>
      <c r="T13" s="2">
        <v>142</v>
      </c>
      <c r="U13" s="2">
        <v>5.5E-2</v>
      </c>
      <c r="V13" s="2">
        <v>0.14199999999999999</v>
      </c>
      <c r="W13" s="2">
        <v>1.02</v>
      </c>
      <c r="X13" s="2">
        <v>0</v>
      </c>
      <c r="Y13" s="2">
        <v>0.30299999999999999</v>
      </c>
      <c r="Z13" s="2">
        <v>0.42699999999999999</v>
      </c>
      <c r="AA13" s="2">
        <v>47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17" t="s">
        <v>151</v>
      </c>
    </row>
    <row r="14" spans="1:33" x14ac:dyDescent="0.35">
      <c r="A14" s="2" t="s">
        <v>66</v>
      </c>
      <c r="B14" s="2">
        <v>100</v>
      </c>
      <c r="C14" s="2" t="s">
        <v>28</v>
      </c>
      <c r="D14" s="2">
        <v>206</v>
      </c>
      <c r="E14" s="2">
        <v>22.1</v>
      </c>
      <c r="F14" s="2">
        <v>12.4</v>
      </c>
      <c r="G14" s="2">
        <v>0</v>
      </c>
      <c r="H14" s="2">
        <v>15</v>
      </c>
      <c r="I14" s="2">
        <v>0.34</v>
      </c>
      <c r="J14" s="2">
        <v>30</v>
      </c>
      <c r="K14" s="2">
        <v>252</v>
      </c>
      <c r="L14" s="2">
        <v>384</v>
      </c>
      <c r="M14" s="2">
        <v>61</v>
      </c>
      <c r="N14" s="2">
        <v>0.43</v>
      </c>
      <c r="O14" s="2">
        <v>0.05</v>
      </c>
      <c r="P14" s="2">
        <v>0.02</v>
      </c>
      <c r="Q14" s="2">
        <v>41</v>
      </c>
      <c r="R14" s="2">
        <v>3.2</v>
      </c>
      <c r="S14" s="2">
        <v>0</v>
      </c>
      <c r="T14" s="2">
        <v>3.7</v>
      </c>
      <c r="U14" s="2">
        <v>0.34</v>
      </c>
      <c r="V14" s="2">
        <v>0.14000000000000001</v>
      </c>
      <c r="W14" s="2">
        <v>8</v>
      </c>
      <c r="X14" s="2">
        <v>1.5</v>
      </c>
      <c r="Y14" s="2">
        <v>0.65</v>
      </c>
      <c r="Z14" s="2">
        <v>0</v>
      </c>
      <c r="AA14" s="2">
        <v>34</v>
      </c>
      <c r="AB14" s="2">
        <v>2.8</v>
      </c>
      <c r="AC14" s="2">
        <v>69</v>
      </c>
      <c r="AD14" s="2">
        <v>13</v>
      </c>
      <c r="AE14" s="2">
        <v>1.1000000000000001</v>
      </c>
      <c r="AF14" s="2">
        <v>0.1</v>
      </c>
      <c r="AG14" t="s">
        <v>141</v>
      </c>
    </row>
    <row r="15" spans="1:33" ht="16.5" customHeight="1" x14ac:dyDescent="0.35">
      <c r="A15" s="2" t="s">
        <v>67</v>
      </c>
      <c r="B15" s="2">
        <v>100</v>
      </c>
      <c r="C15" s="2" t="s">
        <v>28</v>
      </c>
      <c r="D15" s="2">
        <v>90</v>
      </c>
      <c r="E15" s="2">
        <v>19</v>
      </c>
      <c r="F15" s="2">
        <v>0.94</v>
      </c>
      <c r="G15" s="2">
        <v>0</v>
      </c>
      <c r="H15" s="2">
        <v>18</v>
      </c>
      <c r="I15" s="2">
        <v>1.67</v>
      </c>
      <c r="J15" s="2">
        <v>22.7</v>
      </c>
      <c r="K15" s="2">
        <v>137</v>
      </c>
      <c r="L15" s="2">
        <v>176</v>
      </c>
      <c r="M15" s="2">
        <v>219</v>
      </c>
      <c r="N15" s="2">
        <v>0.66</v>
      </c>
      <c r="O15" s="2">
        <v>4.8000000000000001E-2</v>
      </c>
      <c r="P15" s="2">
        <v>1.9E-2</v>
      </c>
      <c r="Q15" s="2">
        <v>67.8</v>
      </c>
      <c r="R15" s="2">
        <v>0</v>
      </c>
      <c r="S15" s="2">
        <v>0</v>
      </c>
      <c r="T15" s="2">
        <v>0</v>
      </c>
      <c r="U15" s="2">
        <v>0.03</v>
      </c>
      <c r="V15" s="2">
        <v>8.2000000000000003E-2</v>
      </c>
      <c r="W15" s="2">
        <v>9.92</v>
      </c>
      <c r="X15" s="2">
        <v>0</v>
      </c>
      <c r="Y15" s="2">
        <v>0.32</v>
      </c>
      <c r="Z15" s="2">
        <v>0</v>
      </c>
      <c r="AA15" s="2">
        <v>0</v>
      </c>
      <c r="AB15" s="2">
        <v>2.57</v>
      </c>
      <c r="AC15" s="2">
        <v>0</v>
      </c>
      <c r="AD15" s="2">
        <v>47</v>
      </c>
      <c r="AE15" s="2">
        <v>0</v>
      </c>
      <c r="AF15" s="2">
        <v>0</v>
      </c>
      <c r="AG15" t="s">
        <v>141</v>
      </c>
    </row>
    <row r="16" spans="1:33" x14ac:dyDescent="0.35">
      <c r="A16" s="2" t="s">
        <v>68</v>
      </c>
      <c r="B16" s="2">
        <v>100</v>
      </c>
      <c r="C16" s="2" t="s">
        <v>28</v>
      </c>
      <c r="D16" s="2">
        <v>19</v>
      </c>
      <c r="E16" s="2">
        <v>0.72</v>
      </c>
      <c r="F16" s="2">
        <v>0.2</v>
      </c>
      <c r="G16" s="2">
        <v>3.71</v>
      </c>
      <c r="H16" s="2">
        <v>24</v>
      </c>
      <c r="I16" s="2">
        <v>0.28999999999999998</v>
      </c>
      <c r="J16" s="2">
        <v>25</v>
      </c>
      <c r="K16" s="2">
        <v>20</v>
      </c>
      <c r="L16" s="2">
        <v>250</v>
      </c>
      <c r="M16" s="2">
        <v>105</v>
      </c>
      <c r="N16" s="2">
        <v>0.1</v>
      </c>
      <c r="O16" s="2">
        <v>0.04</v>
      </c>
      <c r="P16" s="2">
        <v>0.14199999999999999</v>
      </c>
      <c r="Q16" s="2">
        <v>1</v>
      </c>
      <c r="R16" s="2">
        <v>0</v>
      </c>
      <c r="S16" s="2">
        <v>0</v>
      </c>
      <c r="T16" s="2">
        <v>2.4</v>
      </c>
      <c r="U16" s="2">
        <v>0.03</v>
      </c>
      <c r="V16" s="2">
        <v>5.7000000000000002E-2</v>
      </c>
      <c r="W16" s="2">
        <v>0.08</v>
      </c>
      <c r="X16" s="2">
        <v>0</v>
      </c>
      <c r="Y16" s="2">
        <v>3.2000000000000001E-2</v>
      </c>
      <c r="Z16" s="2">
        <v>0</v>
      </c>
      <c r="AA16" s="2">
        <v>3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t="s">
        <v>141</v>
      </c>
    </row>
    <row r="17" spans="1:33" x14ac:dyDescent="0.35">
      <c r="A17" s="2" t="s">
        <v>69</v>
      </c>
      <c r="B17" s="2">
        <v>1</v>
      </c>
      <c r="C17" s="2" t="s">
        <v>70</v>
      </c>
      <c r="D17" s="2">
        <v>60.800000000000004</v>
      </c>
      <c r="E17" s="2">
        <v>2.3039999999999998</v>
      </c>
      <c r="F17" s="2">
        <v>0.64000000000000012</v>
      </c>
      <c r="G17" s="2">
        <v>11.872</v>
      </c>
      <c r="H17" s="2">
        <v>76.800000000000011</v>
      </c>
      <c r="I17" s="2">
        <v>0.92799999999999994</v>
      </c>
      <c r="J17" s="2">
        <v>80</v>
      </c>
      <c r="K17" s="2">
        <v>64</v>
      </c>
      <c r="L17" s="2">
        <v>800</v>
      </c>
      <c r="M17" s="2">
        <v>336</v>
      </c>
      <c r="N17" s="2">
        <v>0.32000000000000006</v>
      </c>
      <c r="O17" s="2">
        <v>0.128</v>
      </c>
      <c r="P17" s="2">
        <v>0.45439999999999997</v>
      </c>
      <c r="Q17" s="2">
        <v>3.2</v>
      </c>
      <c r="R17" s="2">
        <v>0</v>
      </c>
      <c r="S17" s="2">
        <v>0</v>
      </c>
      <c r="T17" s="2">
        <v>12.8</v>
      </c>
      <c r="U17" s="2">
        <v>9.6000000000000002E-2</v>
      </c>
      <c r="V17" s="2">
        <v>0.18240000000000001</v>
      </c>
      <c r="W17" s="2">
        <v>0.25600000000000001</v>
      </c>
      <c r="X17" s="2">
        <v>0</v>
      </c>
      <c r="Y17" s="2">
        <v>0.1024</v>
      </c>
      <c r="Z17" s="2">
        <v>0</v>
      </c>
      <c r="AA17" s="2">
        <v>9.6000000000000014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17" t="s">
        <v>152</v>
      </c>
    </row>
    <row r="18" spans="1:33" x14ac:dyDescent="0.35">
      <c r="A18" s="2" t="s">
        <v>71</v>
      </c>
      <c r="B18" s="2">
        <v>100</v>
      </c>
      <c r="C18" s="2" t="s">
        <v>28</v>
      </c>
      <c r="D18" s="2">
        <v>391</v>
      </c>
      <c r="E18" s="2">
        <v>79</v>
      </c>
      <c r="F18" s="2">
        <v>6.5</v>
      </c>
      <c r="G18" s="2">
        <v>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t="s">
        <v>141</v>
      </c>
    </row>
    <row r="19" spans="1:33" x14ac:dyDescent="0.35">
      <c r="A19" s="2" t="s">
        <v>72</v>
      </c>
      <c r="B19" s="2">
        <v>100</v>
      </c>
      <c r="C19" s="2" t="s">
        <v>28</v>
      </c>
      <c r="D19" s="2">
        <v>45</v>
      </c>
      <c r="E19" s="2">
        <v>0.94</v>
      </c>
      <c r="F19" s="2">
        <v>0.35</v>
      </c>
      <c r="G19" s="2">
        <v>10.3</v>
      </c>
      <c r="H19" s="2">
        <v>30</v>
      </c>
      <c r="I19" s="2">
        <v>0.15</v>
      </c>
      <c r="J19" s="2">
        <v>12.4</v>
      </c>
      <c r="K19" s="2">
        <v>40</v>
      </c>
      <c r="L19" s="2">
        <v>280</v>
      </c>
      <c r="M19" s="2">
        <v>87</v>
      </c>
      <c r="N19" s="2">
        <v>0.24</v>
      </c>
      <c r="O19" s="2">
        <v>6.0999999999999999E-2</v>
      </c>
      <c r="P19" s="2">
        <v>0.13</v>
      </c>
      <c r="Q19" s="2">
        <v>0</v>
      </c>
      <c r="R19" s="2">
        <v>0</v>
      </c>
      <c r="S19" s="2">
        <v>0</v>
      </c>
      <c r="T19" s="2">
        <v>5.9</v>
      </c>
      <c r="U19" s="2">
        <v>7.0000000000000007E-2</v>
      </c>
      <c r="V19" s="2">
        <v>0.06</v>
      </c>
      <c r="W19" s="2">
        <v>0.98</v>
      </c>
      <c r="X19" s="2">
        <v>0.27</v>
      </c>
      <c r="Y19" s="2">
        <v>0.14000000000000001</v>
      </c>
      <c r="Z19" s="2">
        <v>2.2200000000000002</v>
      </c>
      <c r="AA19" s="2">
        <v>19</v>
      </c>
      <c r="AB19" s="2">
        <v>0</v>
      </c>
      <c r="AC19" s="2">
        <v>835</v>
      </c>
      <c r="AD19" s="2">
        <v>0</v>
      </c>
      <c r="AE19" s="2">
        <v>0.66</v>
      </c>
      <c r="AF19" s="2">
        <v>13</v>
      </c>
      <c r="AG19" s="17" t="s">
        <v>153</v>
      </c>
    </row>
    <row r="20" spans="1:33" x14ac:dyDescent="0.35">
      <c r="A20" s="2" t="s">
        <v>75</v>
      </c>
      <c r="B20" s="2">
        <v>100</v>
      </c>
      <c r="C20" s="2" t="s">
        <v>28</v>
      </c>
      <c r="D20" s="2">
        <v>564</v>
      </c>
      <c r="E20" s="2">
        <v>4.8</v>
      </c>
      <c r="F20" s="2">
        <v>35</v>
      </c>
      <c r="G20" s="2">
        <v>56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t="s">
        <v>141</v>
      </c>
    </row>
    <row r="21" spans="1:33" x14ac:dyDescent="0.35">
      <c r="A21" s="2" t="s">
        <v>76</v>
      </c>
      <c r="B21" s="2">
        <v>100</v>
      </c>
      <c r="C21" s="2" t="s">
        <v>28</v>
      </c>
      <c r="D21" s="2">
        <v>41</v>
      </c>
      <c r="E21" s="2">
        <v>1.69</v>
      </c>
      <c r="F21" s="2">
        <v>0.3</v>
      </c>
      <c r="G21" s="2">
        <v>5.0999999999999996</v>
      </c>
      <c r="H21" s="2">
        <v>14</v>
      </c>
      <c r="I21" s="2">
        <v>0.43</v>
      </c>
      <c r="J21" s="2">
        <v>21</v>
      </c>
      <c r="K21" s="2">
        <v>34</v>
      </c>
      <c r="L21" s="2">
        <v>342</v>
      </c>
      <c r="M21" s="2">
        <v>112</v>
      </c>
      <c r="N21" s="2">
        <v>0.31</v>
      </c>
      <c r="O21" s="2">
        <v>0.161</v>
      </c>
      <c r="P21" s="2">
        <v>0.25700000000000001</v>
      </c>
      <c r="Q21" s="2">
        <v>0</v>
      </c>
      <c r="R21" s="2">
        <v>0</v>
      </c>
      <c r="S21" s="2">
        <v>0</v>
      </c>
      <c r="T21" s="2">
        <v>4.5999999999999996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103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17" t="s">
        <v>154</v>
      </c>
    </row>
    <row r="22" spans="1:33" x14ac:dyDescent="0.35">
      <c r="A22" s="2" t="s">
        <v>77</v>
      </c>
      <c r="B22" s="2">
        <v>100</v>
      </c>
      <c r="C22" s="2" t="s">
        <v>28</v>
      </c>
      <c r="D22" s="2">
        <v>88</v>
      </c>
      <c r="E22" s="2">
        <v>0.74</v>
      </c>
      <c r="F22" s="2">
        <v>0.28999999999999998</v>
      </c>
      <c r="G22" s="2">
        <v>21.2</v>
      </c>
      <c r="H22" s="2">
        <v>5</v>
      </c>
      <c r="I22" s="2">
        <v>0</v>
      </c>
      <c r="J22" s="2">
        <v>28</v>
      </c>
      <c r="K22" s="2">
        <v>22</v>
      </c>
      <c r="L22" s="2">
        <v>326</v>
      </c>
      <c r="M22" s="2">
        <v>0</v>
      </c>
      <c r="N22" s="2">
        <v>0.16</v>
      </c>
      <c r="O22" s="2">
        <v>0.10100000000000001</v>
      </c>
      <c r="P22" s="2">
        <v>0.25800000000000001</v>
      </c>
      <c r="Q22" s="2">
        <v>0</v>
      </c>
      <c r="R22" s="2">
        <v>0</v>
      </c>
      <c r="S22" s="2">
        <v>0</v>
      </c>
      <c r="T22" s="2">
        <v>12.3</v>
      </c>
      <c r="U22" s="2">
        <v>5.6000000000000001E-2</v>
      </c>
      <c r="V22" s="2">
        <v>0</v>
      </c>
      <c r="W22" s="2">
        <v>0.66200000000000003</v>
      </c>
      <c r="X22" s="2">
        <v>0</v>
      </c>
      <c r="Y22" s="2">
        <v>0.20899999999999999</v>
      </c>
      <c r="Z22" s="2">
        <v>0</v>
      </c>
      <c r="AA22" s="2">
        <v>14</v>
      </c>
      <c r="AB22" s="2">
        <v>0</v>
      </c>
      <c r="AC22" s="2">
        <v>1</v>
      </c>
      <c r="AD22" s="2">
        <v>0</v>
      </c>
      <c r="AE22" s="2">
        <v>0</v>
      </c>
      <c r="AF22" s="2">
        <v>0</v>
      </c>
      <c r="AG22" s="17" t="s">
        <v>155</v>
      </c>
    </row>
    <row r="23" spans="1:33" x14ac:dyDescent="0.35">
      <c r="A23" s="2" t="s">
        <v>78</v>
      </c>
      <c r="B23" s="2">
        <v>100</v>
      </c>
      <c r="C23" s="2" t="s">
        <v>28</v>
      </c>
      <c r="D23" s="2">
        <v>330</v>
      </c>
      <c r="E23" s="2">
        <v>6.3</v>
      </c>
      <c r="F23" s="2">
        <v>14</v>
      </c>
      <c r="G23" s="2">
        <v>44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17" t="s">
        <v>156</v>
      </c>
    </row>
    <row r="24" spans="1:33" x14ac:dyDescent="0.35">
      <c r="A24" s="2" t="s">
        <v>79</v>
      </c>
      <c r="B24" s="2">
        <v>100</v>
      </c>
      <c r="C24" s="2" t="s">
        <v>28</v>
      </c>
      <c r="D24" s="2">
        <v>247</v>
      </c>
      <c r="E24" s="2">
        <v>4</v>
      </c>
      <c r="F24" s="2">
        <v>1.2</v>
      </c>
      <c r="G24" s="2">
        <v>80.599999999999994</v>
      </c>
      <c r="H24" s="2">
        <v>1002</v>
      </c>
      <c r="I24" s="2">
        <v>8.3000000000000007</v>
      </c>
      <c r="J24" s="2">
        <v>60</v>
      </c>
      <c r="K24" s="2">
        <v>64</v>
      </c>
      <c r="L24" s="2">
        <v>431</v>
      </c>
      <c r="M24" s="2">
        <v>10</v>
      </c>
      <c r="N24" s="2">
        <v>1.8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3.8</v>
      </c>
      <c r="U24" s="2">
        <v>0.02</v>
      </c>
      <c r="V24" s="2">
        <v>0.04</v>
      </c>
      <c r="W24" s="2">
        <v>1.33</v>
      </c>
      <c r="X24" s="2">
        <v>0</v>
      </c>
      <c r="Y24" s="2">
        <v>0.16</v>
      </c>
      <c r="Z24" s="2">
        <v>0</v>
      </c>
      <c r="AA24" s="2">
        <v>6</v>
      </c>
      <c r="AB24" s="2">
        <v>0</v>
      </c>
      <c r="AC24" s="2">
        <v>15</v>
      </c>
      <c r="AD24" s="2">
        <v>0</v>
      </c>
      <c r="AE24" s="2">
        <v>0</v>
      </c>
      <c r="AF24" s="2">
        <v>0</v>
      </c>
      <c r="AG24" s="17" t="s">
        <v>157</v>
      </c>
    </row>
    <row r="25" spans="1:33" x14ac:dyDescent="0.35">
      <c r="A25" s="2" t="s">
        <v>80</v>
      </c>
      <c r="B25" s="2">
        <v>100</v>
      </c>
      <c r="C25" s="2" t="s">
        <v>28</v>
      </c>
      <c r="D25" s="2">
        <v>172</v>
      </c>
      <c r="E25" s="2">
        <v>26</v>
      </c>
      <c r="F25" s="2">
        <v>6</v>
      </c>
      <c r="G25" s="2">
        <v>1</v>
      </c>
      <c r="H25" s="2">
        <v>10</v>
      </c>
      <c r="I25" s="2">
        <v>13</v>
      </c>
      <c r="J25" s="2">
        <v>27</v>
      </c>
      <c r="K25" s="2">
        <v>442</v>
      </c>
      <c r="L25" s="2">
        <v>0</v>
      </c>
      <c r="M25" s="2">
        <v>92</v>
      </c>
      <c r="N25" s="2">
        <v>4</v>
      </c>
      <c r="O25" s="2">
        <v>1</v>
      </c>
      <c r="P25" s="2">
        <v>0.4</v>
      </c>
      <c r="Q25" s="2">
        <v>88</v>
      </c>
      <c r="R25" s="2">
        <v>0</v>
      </c>
      <c r="S25" s="2">
        <v>0</v>
      </c>
      <c r="T25" s="2">
        <v>3</v>
      </c>
      <c r="U25" s="2">
        <v>0.3</v>
      </c>
      <c r="V25" s="2">
        <v>2</v>
      </c>
      <c r="W25" s="2">
        <v>14</v>
      </c>
      <c r="X25" s="2">
        <v>0</v>
      </c>
      <c r="Y25" s="2">
        <v>1</v>
      </c>
      <c r="Z25" s="2">
        <v>0</v>
      </c>
      <c r="AA25" s="2">
        <v>0</v>
      </c>
      <c r="AB25" s="2">
        <v>21</v>
      </c>
      <c r="AC25" s="2">
        <v>4296</v>
      </c>
      <c r="AD25" s="2">
        <v>0</v>
      </c>
      <c r="AE25" s="2">
        <v>0</v>
      </c>
      <c r="AF25" s="2">
        <v>0</v>
      </c>
      <c r="AG25" s="17" t="s">
        <v>158</v>
      </c>
    </row>
    <row r="26" spans="1:33" x14ac:dyDescent="0.35">
      <c r="A26" s="2" t="s">
        <v>81</v>
      </c>
      <c r="B26" s="2">
        <v>100</v>
      </c>
      <c r="C26" s="2" t="s">
        <v>28</v>
      </c>
      <c r="D26" s="2">
        <v>551</v>
      </c>
      <c r="E26" s="2">
        <v>23.2</v>
      </c>
      <c r="F26" s="2">
        <v>43.3</v>
      </c>
      <c r="G26" s="2">
        <v>26.5</v>
      </c>
      <c r="H26" s="2">
        <v>49</v>
      </c>
      <c r="I26" s="2">
        <v>1.55</v>
      </c>
      <c r="J26" s="2">
        <v>180</v>
      </c>
      <c r="K26" s="2">
        <v>380</v>
      </c>
      <c r="L26" s="2">
        <v>636</v>
      </c>
      <c r="M26" s="2">
        <v>1</v>
      </c>
      <c r="N26" s="2">
        <v>2.78</v>
      </c>
      <c r="O26" s="2">
        <v>0.46</v>
      </c>
      <c r="P26" s="2">
        <v>1.68</v>
      </c>
      <c r="Q26" s="2">
        <v>17.8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17" t="s">
        <v>159</v>
      </c>
    </row>
    <row r="27" spans="1:33" x14ac:dyDescent="0.35">
      <c r="A27" s="2" t="s">
        <v>90</v>
      </c>
      <c r="B27" s="2">
        <v>100</v>
      </c>
      <c r="C27" s="2" t="s">
        <v>28</v>
      </c>
      <c r="D27" s="2">
        <v>22</v>
      </c>
      <c r="E27" s="2">
        <v>2.91</v>
      </c>
      <c r="F27" s="2">
        <v>0.6</v>
      </c>
      <c r="G27" s="2">
        <v>2.64</v>
      </c>
      <c r="H27" s="2">
        <v>67</v>
      </c>
      <c r="I27" s="2">
        <v>1.05</v>
      </c>
      <c r="J27" s="2">
        <v>93</v>
      </c>
      <c r="K27" s="2">
        <v>41</v>
      </c>
      <c r="L27" s="2">
        <v>460</v>
      </c>
      <c r="M27" s="2">
        <v>107</v>
      </c>
      <c r="N27" s="2">
        <v>0.42</v>
      </c>
      <c r="O27" s="2">
        <v>7.9000000000000001E-2</v>
      </c>
      <c r="P27" s="2">
        <v>0.42599999999999999</v>
      </c>
      <c r="Q27" s="2">
        <v>0</v>
      </c>
      <c r="R27" s="2">
        <v>6.1</v>
      </c>
      <c r="S27" s="2">
        <v>0</v>
      </c>
      <c r="T27" s="2">
        <v>30.3</v>
      </c>
      <c r="U27" s="2">
        <v>7.5999999999999998E-2</v>
      </c>
      <c r="V27" s="2">
        <v>0.192</v>
      </c>
      <c r="W27" s="2">
        <v>0.51</v>
      </c>
      <c r="X27" s="2">
        <v>0</v>
      </c>
      <c r="Y27" s="2">
        <v>0.214</v>
      </c>
      <c r="Z27" s="2">
        <v>4.25</v>
      </c>
      <c r="AA27" s="2">
        <v>113</v>
      </c>
      <c r="AB27" s="2">
        <v>0</v>
      </c>
      <c r="AC27" s="2">
        <v>306</v>
      </c>
      <c r="AD27" s="2">
        <v>0</v>
      </c>
      <c r="AE27" s="2">
        <v>0</v>
      </c>
      <c r="AF27" s="2">
        <v>0</v>
      </c>
      <c r="AG27" s="17" t="s">
        <v>160</v>
      </c>
    </row>
    <row r="28" spans="1:33" x14ac:dyDescent="0.35">
      <c r="A28" s="2" t="s">
        <v>91</v>
      </c>
      <c r="B28" s="2">
        <v>100</v>
      </c>
      <c r="C28" s="2" t="s">
        <v>28</v>
      </c>
      <c r="D28" s="2">
        <v>340</v>
      </c>
      <c r="E28" s="2">
        <v>12</v>
      </c>
      <c r="F28" s="2">
        <v>2</v>
      </c>
      <c r="G28" s="2">
        <v>60</v>
      </c>
      <c r="H28" s="2">
        <v>27</v>
      </c>
      <c r="I28" s="2">
        <v>4.4000000000000004</v>
      </c>
      <c r="J28" s="2">
        <v>136</v>
      </c>
      <c r="K28" s="2">
        <v>401</v>
      </c>
      <c r="L28" s="2">
        <v>388</v>
      </c>
      <c r="M28" s="2">
        <v>8</v>
      </c>
      <c r="N28" s="2">
        <v>3.3</v>
      </c>
      <c r="O28" s="2">
        <v>0.5</v>
      </c>
      <c r="P28" s="2">
        <v>3</v>
      </c>
      <c r="Q28" s="2">
        <v>11</v>
      </c>
      <c r="R28" s="2">
        <v>0</v>
      </c>
      <c r="S28" s="2">
        <v>0</v>
      </c>
      <c r="T28" s="2">
        <v>0</v>
      </c>
      <c r="U28" s="2">
        <v>0.36</v>
      </c>
      <c r="V28" s="2">
        <v>0.11</v>
      </c>
      <c r="W28" s="2">
        <v>6.8</v>
      </c>
      <c r="X28" s="2">
        <v>1.1000000000000001</v>
      </c>
      <c r="Y28" s="2">
        <v>0.23</v>
      </c>
      <c r="Z28" s="2">
        <v>0</v>
      </c>
      <c r="AA28" s="2">
        <v>45</v>
      </c>
      <c r="AB28" s="2">
        <v>0</v>
      </c>
      <c r="AC28" s="2">
        <v>0</v>
      </c>
      <c r="AD28" s="2">
        <v>0</v>
      </c>
      <c r="AE28" s="2">
        <v>0.79</v>
      </c>
      <c r="AF28" s="2">
        <v>0</v>
      </c>
      <c r="AG28" t="s">
        <v>141</v>
      </c>
    </row>
    <row r="29" spans="1:33" x14ac:dyDescent="0.35">
      <c r="A29" s="2" t="s">
        <v>93</v>
      </c>
      <c r="B29" s="2">
        <v>100</v>
      </c>
      <c r="C29" s="2" t="s">
        <v>28</v>
      </c>
      <c r="D29" s="2">
        <v>35</v>
      </c>
      <c r="E29" s="2">
        <v>1.58</v>
      </c>
      <c r="F29" s="2">
        <v>0.26</v>
      </c>
      <c r="G29" s="2">
        <v>8.0399999999999991</v>
      </c>
      <c r="H29" s="2">
        <v>18</v>
      </c>
      <c r="I29" s="2">
        <v>1.24</v>
      </c>
      <c r="J29" s="2">
        <v>19.3</v>
      </c>
      <c r="K29" s="2">
        <v>34</v>
      </c>
      <c r="L29" s="2">
        <v>416</v>
      </c>
      <c r="M29" s="2">
        <v>29</v>
      </c>
      <c r="N29" s="2">
        <v>0.21</v>
      </c>
      <c r="O29" s="2">
        <v>0.123</v>
      </c>
      <c r="P29" s="2">
        <v>0.14000000000000001</v>
      </c>
      <c r="Q29" s="2">
        <v>0</v>
      </c>
      <c r="R29" s="2">
        <v>0</v>
      </c>
      <c r="S29" s="2">
        <v>0</v>
      </c>
      <c r="T29" s="2">
        <v>10.4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17" t="s">
        <v>161</v>
      </c>
    </row>
    <row r="30" spans="1:33" x14ac:dyDescent="0.35">
      <c r="A30" s="2" t="s">
        <v>94</v>
      </c>
      <c r="B30" s="2">
        <v>100</v>
      </c>
      <c r="C30" s="2" t="s">
        <v>28</v>
      </c>
      <c r="D30" s="2">
        <v>233</v>
      </c>
      <c r="E30" s="2">
        <v>17.8</v>
      </c>
      <c r="F30" s="2">
        <v>17.5</v>
      </c>
      <c r="G30" s="2">
        <v>0</v>
      </c>
      <c r="H30" s="2">
        <v>6</v>
      </c>
      <c r="I30" s="2">
        <v>0.79</v>
      </c>
      <c r="J30" s="2">
        <v>19</v>
      </c>
      <c r="K30" s="2">
        <v>173</v>
      </c>
      <c r="L30" s="2">
        <v>318</v>
      </c>
      <c r="M30" s="2">
        <v>54</v>
      </c>
      <c r="N30" s="2">
        <v>2.23</v>
      </c>
      <c r="O30" s="2">
        <v>6.7000000000000004E-2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t="s">
        <v>141</v>
      </c>
    </row>
    <row r="31" spans="1:33" x14ac:dyDescent="0.35">
      <c r="A31" s="2" t="s">
        <v>95</v>
      </c>
      <c r="B31" s="2">
        <v>100</v>
      </c>
      <c r="C31" s="2" t="s">
        <v>28</v>
      </c>
      <c r="D31" s="2">
        <v>23</v>
      </c>
      <c r="E31" s="2">
        <v>3.2</v>
      </c>
      <c r="F31" s="2">
        <v>0.6</v>
      </c>
      <c r="G31" s="2">
        <v>2.7</v>
      </c>
      <c r="H31" s="2">
        <v>177</v>
      </c>
      <c r="I31" s="2">
        <v>3.2</v>
      </c>
      <c r="J31" s="2">
        <v>64</v>
      </c>
      <c r="K31" s="2">
        <v>56</v>
      </c>
      <c r="L31" s="2">
        <v>295</v>
      </c>
      <c r="M31" s="2">
        <v>4</v>
      </c>
      <c r="N31" s="2">
        <v>0.81</v>
      </c>
      <c r="O31" s="2">
        <v>0.39</v>
      </c>
      <c r="P31" s="2">
        <v>1.1000000000000001</v>
      </c>
      <c r="Q31" s="2">
        <v>0.3</v>
      </c>
      <c r="R31" s="2">
        <v>0</v>
      </c>
      <c r="S31" s="2">
        <v>0</v>
      </c>
      <c r="T31" s="2">
        <v>18</v>
      </c>
      <c r="U31" s="2">
        <v>0.03</v>
      </c>
      <c r="V31" s="2">
        <v>0.08</v>
      </c>
      <c r="W31" s="2">
        <v>0.9</v>
      </c>
      <c r="X31" s="2">
        <v>0.21</v>
      </c>
      <c r="Y31" s="2">
        <v>0.16</v>
      </c>
      <c r="Z31" s="2">
        <v>0</v>
      </c>
      <c r="AA31" s="2">
        <v>64</v>
      </c>
      <c r="AB31" s="2">
        <v>0</v>
      </c>
      <c r="AC31" s="2">
        <v>264</v>
      </c>
      <c r="AD31" s="2">
        <v>0</v>
      </c>
      <c r="AE31" s="2">
        <v>0.8</v>
      </c>
      <c r="AF31" s="2">
        <v>415</v>
      </c>
      <c r="AG31" t="s">
        <v>141</v>
      </c>
    </row>
    <row r="32" spans="1:33" x14ac:dyDescent="0.35">
      <c r="A32" s="2" t="s">
        <v>97</v>
      </c>
      <c r="B32" s="2">
        <v>100</v>
      </c>
      <c r="C32" s="2" t="s">
        <v>28</v>
      </c>
      <c r="D32" s="2">
        <v>265</v>
      </c>
      <c r="E32" s="2">
        <v>9</v>
      </c>
      <c r="F32" s="2">
        <v>4.3</v>
      </c>
      <c r="G32" s="2">
        <v>68.900000000000006</v>
      </c>
      <c r="H32" s="2">
        <v>1597</v>
      </c>
      <c r="I32" s="2">
        <v>37</v>
      </c>
      <c r="J32" s="2">
        <v>270</v>
      </c>
      <c r="K32" s="2">
        <v>148</v>
      </c>
      <c r="L32" s="2">
        <v>1260</v>
      </c>
      <c r="M32" s="2">
        <v>25</v>
      </c>
      <c r="N32" s="2">
        <v>2.7</v>
      </c>
      <c r="O32" s="2">
        <v>0.63</v>
      </c>
      <c r="P32" s="2">
        <v>5</v>
      </c>
      <c r="Q32" s="2">
        <v>4.5</v>
      </c>
      <c r="R32" s="2">
        <v>0</v>
      </c>
      <c r="S32" s="2">
        <v>0</v>
      </c>
      <c r="T32" s="2">
        <v>2.2999999999999998</v>
      </c>
      <c r="U32" s="2">
        <v>0.18</v>
      </c>
      <c r="V32" s="2">
        <v>0.53</v>
      </c>
      <c r="W32" s="2">
        <v>4.5999999999999996</v>
      </c>
      <c r="X32" s="2">
        <v>0.92</v>
      </c>
      <c r="Y32" s="2">
        <v>1</v>
      </c>
      <c r="Z32" s="2">
        <v>0</v>
      </c>
      <c r="AA32" s="2">
        <v>237</v>
      </c>
      <c r="AB32" s="2">
        <v>0</v>
      </c>
      <c r="AC32" s="2">
        <v>85</v>
      </c>
      <c r="AD32" s="2">
        <v>0</v>
      </c>
      <c r="AE32" s="2">
        <v>18</v>
      </c>
      <c r="AF32" s="2">
        <v>622</v>
      </c>
      <c r="AG32" s="17" t="s">
        <v>162</v>
      </c>
    </row>
    <row r="33" spans="1:33" x14ac:dyDescent="0.35">
      <c r="A33" s="2" t="s">
        <v>98</v>
      </c>
      <c r="B33" s="2">
        <v>100</v>
      </c>
      <c r="C33" s="2" t="s">
        <v>28</v>
      </c>
      <c r="D33" s="2">
        <v>149</v>
      </c>
      <c r="E33" s="2">
        <v>6.4</v>
      </c>
      <c r="F33" s="2">
        <v>0.5</v>
      </c>
      <c r="G33" s="2">
        <v>33.1</v>
      </c>
      <c r="H33" s="2">
        <v>181</v>
      </c>
      <c r="I33" s="2">
        <v>1.7</v>
      </c>
      <c r="J33" s="2">
        <v>25</v>
      </c>
      <c r="K33" s="2">
        <v>153</v>
      </c>
      <c r="L33" s="2">
        <v>401</v>
      </c>
      <c r="M33" s="2">
        <v>17</v>
      </c>
      <c r="N33" s="2">
        <v>1.2</v>
      </c>
      <c r="O33" s="2">
        <v>0.3</v>
      </c>
      <c r="P33" s="2">
        <v>1.7</v>
      </c>
      <c r="Q33" s="2">
        <v>14</v>
      </c>
      <c r="R33" s="2">
        <v>0</v>
      </c>
      <c r="S33" s="2">
        <v>0</v>
      </c>
      <c r="T33" s="2">
        <v>31</v>
      </c>
      <c r="U33" s="2">
        <v>0.2</v>
      </c>
      <c r="V33" s="2">
        <v>0.11</v>
      </c>
      <c r="W33" s="2">
        <v>0.7</v>
      </c>
      <c r="X33" s="2">
        <v>0.6</v>
      </c>
      <c r="Y33" s="2">
        <v>1.2</v>
      </c>
      <c r="Z33" s="2">
        <v>0</v>
      </c>
      <c r="AA33" s="2">
        <v>3</v>
      </c>
      <c r="AB33" s="2">
        <v>0</v>
      </c>
      <c r="AC33" s="2">
        <v>0</v>
      </c>
      <c r="AD33" s="2">
        <v>0</v>
      </c>
      <c r="AE33" s="2">
        <v>0.08</v>
      </c>
      <c r="AF33" s="2">
        <v>1.7</v>
      </c>
      <c r="AG33" s="17" t="s">
        <v>163</v>
      </c>
    </row>
    <row r="34" spans="1:33" x14ac:dyDescent="0.35">
      <c r="A34" s="2" t="s">
        <v>99</v>
      </c>
      <c r="B34" s="2">
        <v>100</v>
      </c>
      <c r="C34" s="2" t="s">
        <v>28</v>
      </c>
      <c r="D34" s="2">
        <v>168</v>
      </c>
      <c r="E34" s="2">
        <v>5.3</v>
      </c>
      <c r="F34" s="2">
        <v>2.2999999999999998</v>
      </c>
      <c r="G34" s="2">
        <v>32</v>
      </c>
      <c r="H34" s="2">
        <v>61</v>
      </c>
      <c r="I34" s="2">
        <v>0.6</v>
      </c>
      <c r="J34" s="2">
        <v>50</v>
      </c>
      <c r="K34" s="2">
        <v>124</v>
      </c>
      <c r="L34" s="2">
        <v>875</v>
      </c>
      <c r="M34" s="2">
        <v>23</v>
      </c>
      <c r="N34" s="2">
        <v>0.83</v>
      </c>
      <c r="O34" s="2">
        <v>1.1000000000000001</v>
      </c>
      <c r="P34" s="2">
        <v>0.13</v>
      </c>
      <c r="Q34" s="2">
        <v>0</v>
      </c>
      <c r="R34" s="2">
        <v>0</v>
      </c>
      <c r="S34" s="2">
        <v>0</v>
      </c>
      <c r="T34" s="2">
        <v>6.1</v>
      </c>
      <c r="U34" s="2">
        <v>0.28999999999999998</v>
      </c>
      <c r="V34" s="2">
        <v>0.17</v>
      </c>
      <c r="W34" s="2">
        <v>5.3</v>
      </c>
      <c r="X34" s="2">
        <v>0.82</v>
      </c>
      <c r="Y34" s="2">
        <v>0.3</v>
      </c>
      <c r="Z34" s="2">
        <v>0</v>
      </c>
      <c r="AA34" s="2">
        <v>0</v>
      </c>
      <c r="AB34" s="2">
        <v>0</v>
      </c>
      <c r="AC34" s="2">
        <v>12</v>
      </c>
      <c r="AD34" s="2">
        <v>0</v>
      </c>
      <c r="AE34" s="2">
        <v>0</v>
      </c>
      <c r="AF34" s="2">
        <v>0</v>
      </c>
      <c r="AG34" s="17" t="s">
        <v>164</v>
      </c>
    </row>
    <row r="35" spans="1:33" x14ac:dyDescent="0.35">
      <c r="A35" s="2" t="s">
        <v>100</v>
      </c>
      <c r="B35" s="2">
        <v>100</v>
      </c>
      <c r="C35" s="2" t="s">
        <v>28</v>
      </c>
      <c r="D35" s="2">
        <v>47</v>
      </c>
      <c r="E35" s="2">
        <v>0.9</v>
      </c>
      <c r="F35" s="2">
        <v>0.2</v>
      </c>
      <c r="G35" s="2">
        <v>12</v>
      </c>
      <c r="H35" s="2">
        <v>30</v>
      </c>
      <c r="I35" s="2">
        <v>0.14000000000000001</v>
      </c>
      <c r="J35" s="2">
        <v>10</v>
      </c>
      <c r="K35" s="2">
        <v>21</v>
      </c>
      <c r="L35" s="2">
        <v>177</v>
      </c>
      <c r="M35" s="2">
        <v>1</v>
      </c>
      <c r="N35" s="2">
        <v>0.06</v>
      </c>
      <c r="O35" s="2">
        <v>0.04</v>
      </c>
      <c r="P35" s="2">
        <v>0.02</v>
      </c>
      <c r="Q35" s="2">
        <v>0.1</v>
      </c>
      <c r="R35" s="2">
        <v>0</v>
      </c>
      <c r="S35" s="2">
        <v>0</v>
      </c>
      <c r="T35" s="2">
        <v>49</v>
      </c>
      <c r="U35" s="2">
        <v>0.09</v>
      </c>
      <c r="V35" s="2">
        <v>0.03</v>
      </c>
      <c r="W35" s="2">
        <v>0.64</v>
      </c>
      <c r="X35" s="2">
        <v>0.15</v>
      </c>
      <c r="Y35" s="2">
        <v>0.08</v>
      </c>
      <c r="Z35" s="2">
        <v>0</v>
      </c>
      <c r="AA35" s="2">
        <v>24</v>
      </c>
      <c r="AB35" s="2">
        <v>0</v>
      </c>
      <c r="AC35" s="2">
        <v>0</v>
      </c>
      <c r="AD35" s="2">
        <v>0</v>
      </c>
      <c r="AE35" s="2">
        <v>0.2</v>
      </c>
      <c r="AF35" s="2">
        <v>0</v>
      </c>
      <c r="AG35" s="17" t="s">
        <v>165</v>
      </c>
    </row>
    <row r="36" spans="1:33" x14ac:dyDescent="0.35">
      <c r="A36" s="2" t="s">
        <v>101</v>
      </c>
      <c r="B36" s="2">
        <v>100</v>
      </c>
      <c r="C36" s="2" t="s">
        <v>28</v>
      </c>
      <c r="D36" s="2">
        <v>20</v>
      </c>
      <c r="E36" s="2">
        <v>0.72</v>
      </c>
      <c r="F36" s="2">
        <v>0.11</v>
      </c>
      <c r="G36" s="2">
        <v>4.78</v>
      </c>
      <c r="H36" s="2">
        <v>7</v>
      </c>
      <c r="I36" s="2">
        <v>0.19</v>
      </c>
      <c r="J36" s="2">
        <v>9</v>
      </c>
      <c r="K36" s="2">
        <v>17</v>
      </c>
      <c r="L36" s="2">
        <v>163</v>
      </c>
      <c r="M36" s="2">
        <v>0</v>
      </c>
      <c r="N36" s="2">
        <v>0.13</v>
      </c>
      <c r="O36" s="2">
        <v>5.8000000000000003E-2</v>
      </c>
      <c r="P36" s="2">
        <v>0.1</v>
      </c>
      <c r="Q36" s="2">
        <v>0</v>
      </c>
      <c r="R36" s="2">
        <v>0</v>
      </c>
      <c r="S36" s="2">
        <v>0</v>
      </c>
      <c r="T36" s="2">
        <v>99.5</v>
      </c>
      <c r="U36" s="2">
        <v>3.9E-2</v>
      </c>
      <c r="V36" s="2">
        <v>8.8999999999999996E-2</v>
      </c>
      <c r="W36" s="2">
        <v>0.63600000000000001</v>
      </c>
      <c r="X36" s="2">
        <v>0</v>
      </c>
      <c r="Y36" s="2">
        <v>0.247</v>
      </c>
      <c r="Z36" s="2">
        <v>0</v>
      </c>
      <c r="AA36" s="2">
        <v>22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17" t="s">
        <v>166</v>
      </c>
    </row>
    <row r="37" spans="1:33" x14ac:dyDescent="0.35">
      <c r="A37" s="2" t="s">
        <v>114</v>
      </c>
      <c r="B37" s="2">
        <v>100</v>
      </c>
      <c r="C37" s="2" t="s">
        <v>28</v>
      </c>
      <c r="D37" s="2">
        <v>516</v>
      </c>
      <c r="E37" s="2">
        <v>6.6</v>
      </c>
      <c r="F37" s="2">
        <v>30</v>
      </c>
      <c r="G37" s="2">
        <v>52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t="s">
        <v>141</v>
      </c>
    </row>
    <row r="38" spans="1:33" x14ac:dyDescent="0.35">
      <c r="A38" s="2" t="s">
        <v>115</v>
      </c>
      <c r="B38" s="2">
        <v>100</v>
      </c>
      <c r="C38" s="2" t="s">
        <v>28</v>
      </c>
      <c r="D38" s="2">
        <v>27</v>
      </c>
      <c r="E38" s="2">
        <v>0.82</v>
      </c>
      <c r="F38" s="2">
        <v>0.12</v>
      </c>
      <c r="G38" s="2">
        <v>6.6</v>
      </c>
      <c r="H38" s="2">
        <v>7</v>
      </c>
      <c r="I38" s="2">
        <v>0.36</v>
      </c>
      <c r="J38" s="2">
        <v>10.3</v>
      </c>
      <c r="K38" s="2">
        <v>25</v>
      </c>
      <c r="L38" s="2">
        <v>197</v>
      </c>
      <c r="M38" s="2">
        <v>0</v>
      </c>
      <c r="N38" s="2">
        <v>0.19</v>
      </c>
      <c r="O38" s="2">
        <v>4.4999999999999998E-2</v>
      </c>
      <c r="P38" s="2">
        <v>0.14199999999999999</v>
      </c>
      <c r="Q38" s="2">
        <v>0</v>
      </c>
      <c r="R38" s="2">
        <v>0</v>
      </c>
      <c r="S38" s="2">
        <v>0</v>
      </c>
      <c r="T38" s="2">
        <v>139</v>
      </c>
      <c r="U38" s="2">
        <v>4.9000000000000002E-2</v>
      </c>
      <c r="V38" s="2">
        <v>9.8000000000000004E-2</v>
      </c>
      <c r="W38" s="2">
        <v>0.91</v>
      </c>
      <c r="X38" s="2">
        <v>0</v>
      </c>
      <c r="Y38" s="2">
        <v>0.29199999999999998</v>
      </c>
      <c r="Z38" s="2">
        <v>0.46</v>
      </c>
      <c r="AA38" s="2">
        <v>42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17" t="s">
        <v>167</v>
      </c>
    </row>
    <row r="39" spans="1:33" x14ac:dyDescent="0.35">
      <c r="A39" s="2" t="s">
        <v>117</v>
      </c>
      <c r="B39" s="2">
        <v>100</v>
      </c>
      <c r="C39" s="2" t="s">
        <v>28</v>
      </c>
      <c r="D39" s="2">
        <v>579</v>
      </c>
      <c r="E39" s="2">
        <v>21.2</v>
      </c>
      <c r="F39" s="2">
        <v>49.9</v>
      </c>
      <c r="G39" s="2">
        <v>21.6</v>
      </c>
      <c r="H39" s="2">
        <v>269</v>
      </c>
      <c r="I39" s="2">
        <v>3.7</v>
      </c>
      <c r="J39" s="2">
        <v>270</v>
      </c>
      <c r="K39" s="2">
        <v>481</v>
      </c>
      <c r="L39" s="2">
        <v>733</v>
      </c>
      <c r="M39" s="2">
        <v>1</v>
      </c>
      <c r="N39" s="2">
        <v>3.1</v>
      </c>
      <c r="O39" s="2">
        <v>1</v>
      </c>
      <c r="P39" s="2">
        <v>2.2000000000000002</v>
      </c>
      <c r="Q39" s="2">
        <v>4.0999999999999996</v>
      </c>
      <c r="R39" s="2">
        <v>0</v>
      </c>
      <c r="S39" s="2">
        <v>0</v>
      </c>
      <c r="T39" s="2">
        <v>0</v>
      </c>
      <c r="U39" s="2">
        <v>0.21</v>
      </c>
      <c r="V39" s="2">
        <v>1.1000000000000001</v>
      </c>
      <c r="W39" s="2">
        <v>3.6</v>
      </c>
      <c r="X39" s="2">
        <v>0.47</v>
      </c>
      <c r="Y39" s="2">
        <v>0.14000000000000001</v>
      </c>
      <c r="Z39" s="2">
        <v>0</v>
      </c>
      <c r="AA39" s="2">
        <v>44</v>
      </c>
      <c r="AB39" s="2">
        <v>0</v>
      </c>
      <c r="AC39" s="2">
        <v>0</v>
      </c>
      <c r="AD39" s="2">
        <v>0</v>
      </c>
      <c r="AE39" s="2">
        <v>26</v>
      </c>
      <c r="AF39" s="2">
        <v>0</v>
      </c>
      <c r="AG39" s="17" t="s">
        <v>168</v>
      </c>
    </row>
    <row r="40" spans="1:33" x14ac:dyDescent="0.35">
      <c r="A40" s="2" t="s">
        <v>118</v>
      </c>
      <c r="B40" s="2">
        <v>100</v>
      </c>
      <c r="C40" s="2" t="s">
        <v>28</v>
      </c>
      <c r="D40" s="2">
        <v>25</v>
      </c>
      <c r="E40" s="2">
        <v>2.6</v>
      </c>
      <c r="F40" s="2">
        <v>0.7</v>
      </c>
      <c r="G40" s="2">
        <v>3.7</v>
      </c>
      <c r="H40" s="2">
        <v>160</v>
      </c>
      <c r="I40" s="2">
        <v>1.5</v>
      </c>
      <c r="J40" s="2">
        <v>47</v>
      </c>
      <c r="K40" s="2">
        <v>52</v>
      </c>
      <c r="L40" s="2">
        <v>369</v>
      </c>
      <c r="M40" s="2">
        <v>27</v>
      </c>
      <c r="N40" s="2">
        <v>0.47</v>
      </c>
      <c r="O40" s="2">
        <v>0.08</v>
      </c>
      <c r="P40" s="2">
        <v>0.32</v>
      </c>
      <c r="Q40" s="2">
        <v>0.3</v>
      </c>
      <c r="R40" s="2">
        <v>0</v>
      </c>
      <c r="S40" s="2">
        <v>0</v>
      </c>
      <c r="T40" s="2">
        <v>15</v>
      </c>
      <c r="U40" s="2">
        <v>0.04</v>
      </c>
      <c r="V40" s="2">
        <v>0.09</v>
      </c>
      <c r="W40" s="2">
        <v>0.31</v>
      </c>
      <c r="X40" s="2">
        <v>0.44</v>
      </c>
      <c r="Y40" s="2">
        <v>7.0000000000000007E-2</v>
      </c>
      <c r="Z40" s="2">
        <v>0</v>
      </c>
      <c r="AA40" s="2">
        <v>97</v>
      </c>
      <c r="AB40" s="2">
        <v>0</v>
      </c>
      <c r="AC40" s="2">
        <v>119</v>
      </c>
      <c r="AD40" s="2">
        <v>0</v>
      </c>
      <c r="AE40" s="2">
        <v>0.43</v>
      </c>
      <c r="AF40" s="2">
        <v>109</v>
      </c>
      <c r="AG40" s="17" t="s">
        <v>169</v>
      </c>
    </row>
    <row r="41" spans="1:33" x14ac:dyDescent="0.35">
      <c r="A41" s="2" t="s">
        <v>119</v>
      </c>
      <c r="B41" s="2">
        <v>100</v>
      </c>
      <c r="C41" s="2" t="s">
        <v>28</v>
      </c>
      <c r="D41" s="2">
        <v>628</v>
      </c>
      <c r="E41" s="2">
        <v>15</v>
      </c>
      <c r="F41" s="2">
        <v>60.8</v>
      </c>
      <c r="G41" s="2">
        <v>16.7</v>
      </c>
      <c r="H41" s="2">
        <v>114</v>
      </c>
      <c r="I41" s="2">
        <v>4.7</v>
      </c>
      <c r="J41" s="2">
        <v>163</v>
      </c>
      <c r="K41" s="2">
        <v>290</v>
      </c>
      <c r="L41" s="2">
        <v>680</v>
      </c>
      <c r="M41" s="2">
        <v>0</v>
      </c>
      <c r="N41" s="2">
        <v>2.5</v>
      </c>
      <c r="O41" s="2">
        <v>1.7</v>
      </c>
      <c r="P41" s="2">
        <v>6.2</v>
      </c>
      <c r="Q41" s="2">
        <v>2.4</v>
      </c>
      <c r="R41" s="2">
        <v>0</v>
      </c>
      <c r="S41" s="2">
        <v>0</v>
      </c>
      <c r="T41" s="2">
        <v>6.3</v>
      </c>
      <c r="U41" s="2">
        <v>0.64</v>
      </c>
      <c r="V41" s="2">
        <v>0.11</v>
      </c>
      <c r="W41" s="2">
        <v>1.8</v>
      </c>
      <c r="X41" s="2">
        <v>0.92</v>
      </c>
      <c r="Y41" s="2">
        <v>0.56000000000000005</v>
      </c>
      <c r="Z41" s="2">
        <v>0</v>
      </c>
      <c r="AA41" s="2">
        <v>113</v>
      </c>
      <c r="AB41" s="2">
        <v>0</v>
      </c>
      <c r="AC41" s="2">
        <v>1</v>
      </c>
      <c r="AD41" s="2">
        <v>0</v>
      </c>
      <c r="AE41" s="2">
        <v>15</v>
      </c>
      <c r="AF41" s="2">
        <v>14</v>
      </c>
      <c r="AG41" s="17" t="s">
        <v>170</v>
      </c>
    </row>
    <row r="42" spans="1:33" x14ac:dyDescent="0.35">
      <c r="A42" s="2" t="s">
        <v>120</v>
      </c>
      <c r="B42" s="2">
        <v>100</v>
      </c>
      <c r="C42" s="2" t="s">
        <v>28</v>
      </c>
      <c r="D42" s="2">
        <v>315</v>
      </c>
      <c r="E42" s="2">
        <v>24</v>
      </c>
      <c r="F42" s="2">
        <v>1.9</v>
      </c>
      <c r="G42" s="2">
        <v>46</v>
      </c>
      <c r="H42" s="2">
        <v>18.989000000000001</v>
      </c>
      <c r="I42" s="2">
        <v>3.3279999999999998</v>
      </c>
      <c r="J42" s="2">
        <v>36.01</v>
      </c>
      <c r="K42" s="2">
        <v>179.797</v>
      </c>
      <c r="L42" s="2">
        <v>369.19099999999997</v>
      </c>
      <c r="M42" s="2">
        <v>2</v>
      </c>
      <c r="N42" s="2">
        <v>1.272</v>
      </c>
      <c r="O42" s="2">
        <v>0.252</v>
      </c>
      <c r="P42" s="2">
        <v>0.49399999999999999</v>
      </c>
      <c r="Q42" s="2">
        <v>2.7970000000000002</v>
      </c>
      <c r="R42" s="2">
        <v>0</v>
      </c>
      <c r="S42" s="2">
        <v>0</v>
      </c>
      <c r="T42" s="2">
        <v>1.5000000000000002</v>
      </c>
      <c r="U42" s="2">
        <v>0.16600000000000001</v>
      </c>
      <c r="V42" s="2">
        <v>7.0000000000000007E-2</v>
      </c>
      <c r="W42" s="2">
        <v>0</v>
      </c>
      <c r="X42" s="2">
        <v>0</v>
      </c>
      <c r="Y42" s="2">
        <v>0</v>
      </c>
      <c r="Z42" s="2">
        <v>0</v>
      </c>
      <c r="AA42" s="2">
        <v>180.80799999999999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17" t="s">
        <v>171</v>
      </c>
    </row>
    <row r="43" spans="1:33" x14ac:dyDescent="0.35">
      <c r="A43" s="2" t="s">
        <v>121</v>
      </c>
      <c r="B43" s="2">
        <v>100</v>
      </c>
      <c r="C43" s="2" t="s">
        <v>28</v>
      </c>
      <c r="D43" s="2">
        <v>654</v>
      </c>
      <c r="E43" s="2">
        <v>15.2</v>
      </c>
      <c r="F43" s="2">
        <v>65.2</v>
      </c>
      <c r="G43" s="2">
        <v>13.7</v>
      </c>
      <c r="H43" s="2">
        <v>98</v>
      </c>
      <c r="I43" s="2">
        <v>2.9</v>
      </c>
      <c r="J43" s="2">
        <v>158</v>
      </c>
      <c r="K43" s="2">
        <v>346</v>
      </c>
      <c r="L43" s="2">
        <v>441</v>
      </c>
      <c r="M43" s="2">
        <v>2</v>
      </c>
      <c r="N43" s="2">
        <v>3.1</v>
      </c>
      <c r="O43" s="2">
        <v>1.6</v>
      </c>
      <c r="P43" s="2">
        <v>3.4</v>
      </c>
      <c r="Q43" s="2">
        <v>4.9000000000000004</v>
      </c>
      <c r="R43" s="2">
        <v>0</v>
      </c>
      <c r="S43" s="2">
        <v>0</v>
      </c>
      <c r="T43" s="2">
        <v>1.3</v>
      </c>
      <c r="U43" s="2">
        <v>0.34</v>
      </c>
      <c r="V43" s="2">
        <v>0.15</v>
      </c>
      <c r="W43" s="2">
        <v>1.1000000000000001</v>
      </c>
      <c r="X43" s="2">
        <v>0.56999999999999995</v>
      </c>
      <c r="Y43" s="2">
        <v>0.54</v>
      </c>
      <c r="Z43" s="2">
        <v>0</v>
      </c>
      <c r="AA43" s="2">
        <v>98</v>
      </c>
      <c r="AB43" s="2">
        <v>0</v>
      </c>
      <c r="AC43" s="2">
        <v>1</v>
      </c>
      <c r="AD43" s="2">
        <v>0</v>
      </c>
      <c r="AE43" s="2">
        <v>0.7</v>
      </c>
      <c r="AF43" s="2">
        <v>2.7</v>
      </c>
      <c r="AG43" s="17" t="s">
        <v>172</v>
      </c>
    </row>
    <row r="44" spans="1:33" x14ac:dyDescent="0.35">
      <c r="A44" s="2" t="s">
        <v>122</v>
      </c>
      <c r="B44" s="2">
        <v>100</v>
      </c>
      <c r="C44" s="2" t="s">
        <v>28</v>
      </c>
      <c r="D44" s="2">
        <v>41</v>
      </c>
      <c r="E44" s="2">
        <v>3.8</v>
      </c>
      <c r="F44" s="2">
        <v>0.9</v>
      </c>
      <c r="G44" s="2">
        <v>4.5</v>
      </c>
      <c r="H44" s="2">
        <v>130</v>
      </c>
      <c r="I44" s="2">
        <v>0.04</v>
      </c>
      <c r="J44" s="2">
        <v>12</v>
      </c>
      <c r="K44" s="2">
        <v>105</v>
      </c>
      <c r="L44" s="2">
        <v>164</v>
      </c>
      <c r="M44" s="2">
        <v>40</v>
      </c>
      <c r="N44" s="2">
        <v>0.46</v>
      </c>
      <c r="O44" s="2">
        <v>0.01</v>
      </c>
      <c r="P44" s="2">
        <v>0.01</v>
      </c>
      <c r="Q44" s="2">
        <v>3.6</v>
      </c>
      <c r="R44" s="2">
        <v>0</v>
      </c>
      <c r="S44" s="2">
        <v>0</v>
      </c>
      <c r="T44" s="2">
        <v>0.2</v>
      </c>
      <c r="U44" s="2">
        <v>0.03</v>
      </c>
      <c r="V44" s="2">
        <v>0.14000000000000001</v>
      </c>
      <c r="W44" s="2">
        <v>0.15</v>
      </c>
      <c r="X44" s="2">
        <v>0.39</v>
      </c>
      <c r="Y44" s="2">
        <v>0.06</v>
      </c>
      <c r="Z44" s="2">
        <v>0</v>
      </c>
      <c r="AA44" s="2">
        <v>13</v>
      </c>
      <c r="AB44" s="2">
        <v>0.28999999999999998</v>
      </c>
      <c r="AC44" s="2">
        <v>171</v>
      </c>
      <c r="AD44" s="2">
        <v>1</v>
      </c>
      <c r="AE44" s="2">
        <v>0.02</v>
      </c>
      <c r="AF44" s="2">
        <v>0.1</v>
      </c>
      <c r="AG44" t="s">
        <v>141</v>
      </c>
    </row>
    <row r="45" spans="1:33" x14ac:dyDescent="0.35">
      <c r="A45" s="2" t="s">
        <v>123</v>
      </c>
      <c r="B45" s="2">
        <v>100</v>
      </c>
      <c r="C45" s="2" t="s">
        <v>28</v>
      </c>
      <c r="D45" s="2">
        <v>37</v>
      </c>
      <c r="E45" s="2">
        <v>0.9</v>
      </c>
      <c r="F45" s="2">
        <v>0.4</v>
      </c>
      <c r="G45" s="2">
        <v>8.9</v>
      </c>
      <c r="H45" s="2">
        <v>22</v>
      </c>
      <c r="I45" s="2">
        <v>0.44</v>
      </c>
      <c r="J45" s="2">
        <v>13</v>
      </c>
      <c r="K45" s="2">
        <v>19</v>
      </c>
      <c r="L45" s="2">
        <v>241</v>
      </c>
      <c r="M45" s="2">
        <v>1</v>
      </c>
      <c r="N45" s="2">
        <v>0.22</v>
      </c>
      <c r="O45" s="2">
        <v>0.08</v>
      </c>
      <c r="P45" s="2">
        <v>0.19</v>
      </c>
      <c r="Q45" s="2">
        <v>0.4</v>
      </c>
      <c r="R45" s="2">
        <v>0</v>
      </c>
      <c r="S45" s="2">
        <v>0</v>
      </c>
      <c r="T45" s="2">
        <v>9.6</v>
      </c>
      <c r="U45" s="2">
        <v>0.02</v>
      </c>
      <c r="V45" s="2">
        <v>7.0000000000000007E-2</v>
      </c>
      <c r="W45" s="2">
        <v>0.5</v>
      </c>
      <c r="X45" s="2">
        <v>0.23</v>
      </c>
      <c r="Y45" s="2">
        <v>0.16</v>
      </c>
      <c r="Z45" s="2">
        <v>0</v>
      </c>
      <c r="AA45" s="2">
        <v>20</v>
      </c>
      <c r="AB45" s="2">
        <v>0</v>
      </c>
      <c r="AC45" s="2">
        <v>261</v>
      </c>
      <c r="AD45" s="2">
        <v>0</v>
      </c>
      <c r="AE45" s="2">
        <v>0.12</v>
      </c>
      <c r="AF45" s="2">
        <v>4.4000000000000004</v>
      </c>
      <c r="AG45" s="17" t="s">
        <v>173</v>
      </c>
    </row>
    <row r="46" spans="1:33" x14ac:dyDescent="0.35">
      <c r="A46" s="2" t="s">
        <v>124</v>
      </c>
      <c r="B46" s="2">
        <v>100</v>
      </c>
      <c r="C46" s="2" t="s">
        <v>28</v>
      </c>
      <c r="D46" s="2">
        <v>282</v>
      </c>
      <c r="E46" s="2">
        <v>14.1</v>
      </c>
      <c r="F46" s="2">
        <v>12.9</v>
      </c>
      <c r="G46" s="2">
        <v>54</v>
      </c>
      <c r="H46" s="2">
        <v>229</v>
      </c>
      <c r="I46" s="2">
        <v>21</v>
      </c>
      <c r="J46" s="2">
        <v>178</v>
      </c>
      <c r="K46" s="2">
        <v>314</v>
      </c>
      <c r="L46" s="2">
        <v>2280</v>
      </c>
      <c r="M46" s="2">
        <v>68</v>
      </c>
      <c r="N46" s="2">
        <v>4.3</v>
      </c>
      <c r="O46" s="2">
        <v>0.71</v>
      </c>
      <c r="P46" s="2">
        <v>1.6</v>
      </c>
      <c r="Q46" s="2">
        <v>6.3</v>
      </c>
      <c r="R46" s="2">
        <v>0</v>
      </c>
      <c r="S46" s="2">
        <v>0</v>
      </c>
      <c r="T46" s="2">
        <v>0.9</v>
      </c>
      <c r="U46" s="2">
        <v>0.33</v>
      </c>
      <c r="V46" s="2">
        <v>1.2</v>
      </c>
      <c r="W46" s="2">
        <v>10</v>
      </c>
      <c r="X46" s="2">
        <v>2.5</v>
      </c>
      <c r="Y46" s="2">
        <v>2.1</v>
      </c>
      <c r="Z46" s="2">
        <v>0</v>
      </c>
      <c r="AA46" s="2">
        <v>49</v>
      </c>
      <c r="AB46" s="2">
        <v>0</v>
      </c>
      <c r="AC46" s="2">
        <v>2463</v>
      </c>
      <c r="AD46" s="2">
        <v>0</v>
      </c>
      <c r="AE46" s="2">
        <v>29</v>
      </c>
      <c r="AF46" s="2">
        <v>80</v>
      </c>
      <c r="AG46" t="s">
        <v>141</v>
      </c>
    </row>
    <row r="47" spans="1:33" x14ac:dyDescent="0.35">
      <c r="A47" s="2" t="s">
        <v>125</v>
      </c>
      <c r="B47" s="2">
        <v>100</v>
      </c>
      <c r="C47" s="2" t="s">
        <v>28</v>
      </c>
      <c r="D47" s="2">
        <v>375</v>
      </c>
      <c r="E47" s="2">
        <v>17.8</v>
      </c>
      <c r="F47" s="2">
        <v>22.3</v>
      </c>
      <c r="G47" s="2">
        <v>44.2</v>
      </c>
      <c r="H47" s="2">
        <v>931</v>
      </c>
      <c r="I47" s="2">
        <v>66</v>
      </c>
      <c r="J47" s="2">
        <v>366</v>
      </c>
      <c r="K47" s="2">
        <v>499</v>
      </c>
      <c r="L47" s="2">
        <v>1788</v>
      </c>
      <c r="M47" s="2">
        <v>168</v>
      </c>
      <c r="N47" s="2">
        <v>4.8</v>
      </c>
      <c r="O47" s="2">
        <v>0.87</v>
      </c>
      <c r="P47" s="2">
        <v>3.3</v>
      </c>
      <c r="Q47" s="2">
        <v>5.2</v>
      </c>
      <c r="R47" s="2">
        <v>0</v>
      </c>
      <c r="S47" s="2">
        <v>0</v>
      </c>
      <c r="T47" s="2">
        <v>7.7</v>
      </c>
      <c r="U47" s="2">
        <v>0.63</v>
      </c>
      <c r="V47" s="2">
        <v>0.33</v>
      </c>
      <c r="W47" s="2">
        <v>4.5999999999999996</v>
      </c>
      <c r="X47" s="2">
        <v>0</v>
      </c>
      <c r="Y47" s="2">
        <v>0.44</v>
      </c>
      <c r="Z47" s="2">
        <v>0</v>
      </c>
      <c r="AA47" s="2">
        <v>10</v>
      </c>
      <c r="AB47" s="2">
        <v>0</v>
      </c>
      <c r="AC47" s="2">
        <v>64</v>
      </c>
      <c r="AD47" s="2">
        <v>0</v>
      </c>
      <c r="AE47" s="2">
        <v>3.3</v>
      </c>
      <c r="AF47" s="2">
        <v>5.4</v>
      </c>
      <c r="AG47" t="s">
        <v>141</v>
      </c>
    </row>
    <row r="48" spans="1:33" x14ac:dyDescent="0.35">
      <c r="A48" s="2" t="s">
        <v>126</v>
      </c>
      <c r="B48" s="2">
        <v>100</v>
      </c>
      <c r="C48" s="2" t="s">
        <v>28</v>
      </c>
      <c r="D48" s="2">
        <v>60</v>
      </c>
      <c r="E48" s="2">
        <v>0.8</v>
      </c>
      <c r="F48" s="2">
        <v>0.4</v>
      </c>
      <c r="G48" s="2">
        <v>15</v>
      </c>
      <c r="H48" s="2">
        <v>11</v>
      </c>
      <c r="I48" s="2">
        <v>0.16</v>
      </c>
      <c r="J48" s="2">
        <v>10</v>
      </c>
      <c r="K48" s="2">
        <v>14</v>
      </c>
      <c r="L48" s="2">
        <v>168</v>
      </c>
      <c r="M48" s="2">
        <v>1</v>
      </c>
      <c r="N48" s="2">
        <v>0.09</v>
      </c>
      <c r="O48" s="2">
        <v>0.11</v>
      </c>
      <c r="P48" s="2">
        <v>0.06</v>
      </c>
      <c r="Q48" s="2">
        <v>0.6</v>
      </c>
      <c r="R48" s="2">
        <v>0</v>
      </c>
      <c r="S48" s="2">
        <v>0</v>
      </c>
      <c r="T48" s="2">
        <v>36</v>
      </c>
      <c r="U48" s="2">
        <v>0.03</v>
      </c>
      <c r="V48" s="2">
        <v>0.04</v>
      </c>
      <c r="W48" s="2">
        <v>0.67</v>
      </c>
      <c r="X48" s="2">
        <v>0.2</v>
      </c>
      <c r="Y48" s="2">
        <v>0.12</v>
      </c>
      <c r="Z48" s="2">
        <v>0</v>
      </c>
      <c r="AA48" s="2">
        <v>43</v>
      </c>
      <c r="AB48" s="2">
        <v>0</v>
      </c>
      <c r="AC48" s="2">
        <v>54</v>
      </c>
      <c r="AD48" s="2">
        <v>0</v>
      </c>
      <c r="AE48" s="2">
        <v>0.9</v>
      </c>
      <c r="AF48" s="2">
        <v>4.2</v>
      </c>
      <c r="AG48" t="s">
        <v>141</v>
      </c>
    </row>
    <row r="49" spans="1:33" x14ac:dyDescent="0.35">
      <c r="A49" s="2" t="s">
        <v>127</v>
      </c>
      <c r="B49" s="2">
        <v>100</v>
      </c>
      <c r="C49" s="2" t="s">
        <v>28</v>
      </c>
      <c r="D49" s="2">
        <v>15</v>
      </c>
      <c r="E49" s="2">
        <v>0.7</v>
      </c>
      <c r="F49" s="2">
        <v>0.1</v>
      </c>
      <c r="G49" s="2">
        <v>3.6</v>
      </c>
      <c r="H49" s="2">
        <v>16</v>
      </c>
      <c r="I49" s="2">
        <v>0.28000000000000003</v>
      </c>
      <c r="J49" s="2">
        <v>13</v>
      </c>
      <c r="K49" s="2">
        <v>24</v>
      </c>
      <c r="L49" s="2">
        <v>147</v>
      </c>
      <c r="M49" s="2">
        <v>2</v>
      </c>
      <c r="N49" s="2">
        <v>0.2</v>
      </c>
      <c r="O49" s="2">
        <v>0.04</v>
      </c>
      <c r="P49" s="2">
        <v>0.08</v>
      </c>
      <c r="Q49" s="2">
        <v>0.3</v>
      </c>
      <c r="R49" s="2">
        <v>0</v>
      </c>
      <c r="S49" s="2">
        <v>0</v>
      </c>
      <c r="T49" s="2">
        <v>2.8</v>
      </c>
      <c r="U49" s="2">
        <v>0.03</v>
      </c>
      <c r="V49" s="2">
        <v>0.03</v>
      </c>
      <c r="W49" s="2">
        <v>0.1</v>
      </c>
      <c r="X49" s="2">
        <v>0.26</v>
      </c>
      <c r="Y49" s="2">
        <v>0.04</v>
      </c>
      <c r="Z49" s="2">
        <v>0</v>
      </c>
      <c r="AA49" s="2">
        <v>7</v>
      </c>
      <c r="AB49" s="2">
        <v>0</v>
      </c>
      <c r="AC49" s="2">
        <v>5</v>
      </c>
      <c r="AD49" s="2">
        <v>0</v>
      </c>
      <c r="AE49" s="2">
        <v>0.03</v>
      </c>
      <c r="AF49" s="2">
        <v>16</v>
      </c>
      <c r="AG49" t="s">
        <v>141</v>
      </c>
    </row>
    <row r="50" spans="1:33" x14ac:dyDescent="0.35">
      <c r="A50" s="2" t="s">
        <v>128</v>
      </c>
      <c r="B50" s="2">
        <v>100</v>
      </c>
      <c r="C50" s="2" t="s">
        <v>28</v>
      </c>
      <c r="D50" s="2">
        <v>168</v>
      </c>
      <c r="E50" s="2">
        <v>23.8</v>
      </c>
      <c r="F50" s="2">
        <v>7.4</v>
      </c>
      <c r="G50" s="2">
        <v>0</v>
      </c>
      <c r="H50" s="2">
        <v>30</v>
      </c>
      <c r="I50" s="2">
        <v>0.36</v>
      </c>
      <c r="J50" s="2">
        <v>30</v>
      </c>
      <c r="K50" s="2">
        <v>270</v>
      </c>
      <c r="L50" s="2">
        <v>450</v>
      </c>
      <c r="M50" s="2">
        <v>61</v>
      </c>
      <c r="N50" s="2">
        <v>0.54</v>
      </c>
      <c r="O50" s="2">
        <v>0.06</v>
      </c>
      <c r="P50" s="2">
        <v>0.01</v>
      </c>
      <c r="Q50" s="2">
        <v>28</v>
      </c>
      <c r="R50" s="2">
        <v>0</v>
      </c>
      <c r="S50" s="2">
        <v>0</v>
      </c>
      <c r="T50" s="2">
        <v>2.9</v>
      </c>
      <c r="U50" s="2">
        <v>0.14000000000000001</v>
      </c>
      <c r="V50" s="2">
        <v>0.11</v>
      </c>
      <c r="W50" s="2">
        <v>6.6</v>
      </c>
      <c r="X50" s="2">
        <v>2</v>
      </c>
      <c r="Y50" s="2">
        <v>0.39</v>
      </c>
      <c r="Z50" s="2">
        <v>0</v>
      </c>
      <c r="AA50" s="2">
        <v>12</v>
      </c>
      <c r="AB50" s="2">
        <v>4.0999999999999996</v>
      </c>
      <c r="AC50" s="2">
        <v>100</v>
      </c>
      <c r="AD50" s="2">
        <v>19</v>
      </c>
      <c r="AE50" s="2">
        <v>2.8</v>
      </c>
      <c r="AF50" s="2">
        <v>0.1</v>
      </c>
      <c r="AG50" t="s">
        <v>141</v>
      </c>
    </row>
    <row r="51" spans="1:33" x14ac:dyDescent="0.35">
      <c r="A51" s="2" t="s">
        <v>129</v>
      </c>
      <c r="B51" s="2">
        <v>100</v>
      </c>
      <c r="C51" s="2" t="s">
        <v>28</v>
      </c>
      <c r="D51" s="2">
        <v>25</v>
      </c>
      <c r="E51" s="2">
        <v>1.3</v>
      </c>
      <c r="F51" s="2">
        <v>0.1</v>
      </c>
      <c r="G51" s="2">
        <v>5.8</v>
      </c>
      <c r="H51" s="2">
        <v>40</v>
      </c>
      <c r="I51" s="2">
        <v>0.47</v>
      </c>
      <c r="J51" s="2">
        <v>12</v>
      </c>
      <c r="K51" s="2">
        <v>26</v>
      </c>
      <c r="L51" s="2">
        <v>170</v>
      </c>
      <c r="M51" s="2">
        <v>18</v>
      </c>
      <c r="N51" s="2">
        <v>0.18</v>
      </c>
      <c r="O51" s="2">
        <v>0.02</v>
      </c>
      <c r="P51" s="2">
        <v>0.16</v>
      </c>
      <c r="Q51" s="2">
        <v>0.3</v>
      </c>
      <c r="R51" s="2">
        <v>0</v>
      </c>
      <c r="S51" s="2">
        <v>0</v>
      </c>
      <c r="T51" s="2">
        <v>37</v>
      </c>
      <c r="U51" s="2">
        <v>0.06</v>
      </c>
      <c r="V51" s="2">
        <v>0.04</v>
      </c>
      <c r="W51" s="2">
        <v>0.23</v>
      </c>
      <c r="X51" s="2">
        <v>0.21</v>
      </c>
      <c r="Y51" s="2">
        <v>0.12</v>
      </c>
      <c r="Z51" s="2">
        <v>0</v>
      </c>
      <c r="AA51" s="2">
        <v>43</v>
      </c>
      <c r="AB51" s="2">
        <v>0</v>
      </c>
      <c r="AC51" s="2">
        <v>5</v>
      </c>
      <c r="AD51" s="2">
        <v>0</v>
      </c>
      <c r="AE51" s="2">
        <v>0.15</v>
      </c>
      <c r="AF51" s="2">
        <v>76</v>
      </c>
      <c r="AG51" t="s">
        <v>141</v>
      </c>
    </row>
    <row r="52" spans="1:33" x14ac:dyDescent="0.35">
      <c r="A52" s="2" t="s">
        <v>130</v>
      </c>
      <c r="B52" s="2">
        <v>100</v>
      </c>
      <c r="C52" s="2" t="s">
        <v>28</v>
      </c>
      <c r="D52" s="2">
        <v>61</v>
      </c>
      <c r="E52" s="2">
        <v>1.5</v>
      </c>
      <c r="F52" s="2">
        <v>0.3</v>
      </c>
      <c r="G52" s="2">
        <v>14.2</v>
      </c>
      <c r="H52" s="2">
        <v>59</v>
      </c>
      <c r="I52" s="2">
        <v>2.1</v>
      </c>
      <c r="J52" s="2">
        <v>28</v>
      </c>
      <c r="K52" s="2">
        <v>35</v>
      </c>
      <c r="L52" s="2">
        <v>180</v>
      </c>
      <c r="M52" s="2">
        <v>20</v>
      </c>
      <c r="N52" s="2">
        <v>0.12</v>
      </c>
      <c r="O52" s="2">
        <v>0.12</v>
      </c>
      <c r="P52" s="2">
        <v>0.48</v>
      </c>
      <c r="Q52" s="2">
        <v>1</v>
      </c>
      <c r="R52" s="2">
        <v>0</v>
      </c>
      <c r="S52" s="2">
        <v>0</v>
      </c>
      <c r="T52" s="2">
        <v>12</v>
      </c>
      <c r="U52" s="2">
        <v>0.06</v>
      </c>
      <c r="V52" s="2">
        <v>0.03</v>
      </c>
      <c r="W52" s="2">
        <v>0.4</v>
      </c>
      <c r="X52" s="2">
        <v>0.14000000000000001</v>
      </c>
      <c r="Y52" s="2">
        <v>0.23</v>
      </c>
      <c r="Z52" s="2">
        <v>0</v>
      </c>
      <c r="AA52" s="2">
        <v>64</v>
      </c>
      <c r="AB52" s="2">
        <v>0</v>
      </c>
      <c r="AC52" s="2">
        <v>83</v>
      </c>
      <c r="AD52" s="2">
        <v>0</v>
      </c>
      <c r="AE52" s="2">
        <v>0.92</v>
      </c>
      <c r="AF52" s="2">
        <v>47</v>
      </c>
      <c r="AG52" t="s">
        <v>141</v>
      </c>
    </row>
    <row r="53" spans="1:33" x14ac:dyDescent="0.35">
      <c r="A53" s="2" t="s">
        <v>131</v>
      </c>
      <c r="B53" s="2">
        <v>100</v>
      </c>
      <c r="C53" s="2" t="s">
        <v>28</v>
      </c>
      <c r="D53" s="2">
        <v>81</v>
      </c>
      <c r="E53" s="2">
        <v>8</v>
      </c>
      <c r="F53" s="2">
        <v>1.5</v>
      </c>
      <c r="G53" s="2">
        <v>8.8000000000000007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t="s">
        <v>141</v>
      </c>
    </row>
    <row r="54" spans="1:33" x14ac:dyDescent="0.35">
      <c r="A54" s="2" t="s">
        <v>132</v>
      </c>
      <c r="B54" s="2">
        <v>100</v>
      </c>
      <c r="C54" s="2" t="s">
        <v>28</v>
      </c>
      <c r="D54" s="2">
        <v>57</v>
      </c>
      <c r="E54" s="2">
        <v>0.7</v>
      </c>
      <c r="F54" s="2">
        <v>0.3</v>
      </c>
      <c r="G54" s="2">
        <v>14.5</v>
      </c>
      <c r="H54" s="2">
        <v>6</v>
      </c>
      <c r="I54" s="2">
        <v>0.28000000000000003</v>
      </c>
      <c r="J54" s="2">
        <v>6</v>
      </c>
      <c r="K54" s="2">
        <v>12</v>
      </c>
      <c r="L54" s="2">
        <v>77</v>
      </c>
      <c r="M54" s="2">
        <v>1</v>
      </c>
      <c r="N54" s="2">
        <v>0.16</v>
      </c>
      <c r="O54" s="2">
        <v>0.06</v>
      </c>
      <c r="P54" s="2">
        <v>0.34</v>
      </c>
      <c r="Q54" s="2">
        <v>0.1</v>
      </c>
      <c r="R54" s="2">
        <v>0</v>
      </c>
      <c r="S54" s="2">
        <v>0</v>
      </c>
      <c r="T54" s="2">
        <v>9.6999999999999993</v>
      </c>
      <c r="U54" s="2">
        <v>0.04</v>
      </c>
      <c r="V54" s="2">
        <v>0.04</v>
      </c>
      <c r="W54" s="2">
        <v>0.42</v>
      </c>
      <c r="X54" s="2">
        <v>0.12</v>
      </c>
      <c r="Y54" s="2">
        <v>0.05</v>
      </c>
      <c r="Z54" s="2">
        <v>0</v>
      </c>
      <c r="AA54" s="2">
        <v>6</v>
      </c>
      <c r="AB54" s="2">
        <v>0</v>
      </c>
      <c r="AC54" s="2">
        <v>3</v>
      </c>
      <c r="AD54" s="2">
        <v>0</v>
      </c>
      <c r="AE54" s="2">
        <v>0.56999999999999995</v>
      </c>
      <c r="AF54" s="2">
        <v>19</v>
      </c>
      <c r="AG54" t="s">
        <v>141</v>
      </c>
    </row>
    <row r="55" spans="1:33" x14ac:dyDescent="0.35">
      <c r="A55" s="2" t="s">
        <v>133</v>
      </c>
      <c r="B55" s="2">
        <v>100</v>
      </c>
      <c r="C55" s="2" t="s">
        <v>28</v>
      </c>
      <c r="D55" s="2">
        <v>160</v>
      </c>
      <c r="E55" s="2">
        <v>2</v>
      </c>
      <c r="F55" s="2">
        <v>14.7</v>
      </c>
      <c r="G55" s="2">
        <v>8.5</v>
      </c>
      <c r="H55" s="2">
        <v>12</v>
      </c>
      <c r="I55" s="2">
        <v>0.55000000000000004</v>
      </c>
      <c r="J55" s="2">
        <v>29</v>
      </c>
      <c r="K55" s="2">
        <v>52</v>
      </c>
      <c r="L55" s="2">
        <v>485</v>
      </c>
      <c r="M55" s="2">
        <v>7</v>
      </c>
      <c r="N55" s="2">
        <v>0.64</v>
      </c>
      <c r="O55" s="2">
        <v>0.19</v>
      </c>
      <c r="P55" s="2">
        <v>29</v>
      </c>
      <c r="Q55" s="2">
        <v>0.4</v>
      </c>
      <c r="R55" s="2">
        <v>0</v>
      </c>
      <c r="S55" s="2">
        <v>0</v>
      </c>
      <c r="T55" s="2">
        <v>10</v>
      </c>
      <c r="U55" s="2">
        <v>7.0000000000000007E-2</v>
      </c>
      <c r="V55" s="2">
        <v>0.13</v>
      </c>
      <c r="W55" s="2">
        <v>1.7</v>
      </c>
      <c r="X55" s="2">
        <v>1.4</v>
      </c>
      <c r="Y55" s="2">
        <v>0.26</v>
      </c>
      <c r="Z55" s="2">
        <v>0</v>
      </c>
      <c r="AA55" s="2">
        <v>81</v>
      </c>
      <c r="AB55" s="2">
        <v>0</v>
      </c>
      <c r="AC55" s="2">
        <v>7</v>
      </c>
      <c r="AD55" s="2">
        <v>0</v>
      </c>
      <c r="AE55" s="2">
        <v>2.1</v>
      </c>
      <c r="AF55" s="2">
        <v>21</v>
      </c>
      <c r="AG55" t="s">
        <v>141</v>
      </c>
    </row>
    <row r="56" spans="1:33" x14ac:dyDescent="0.35">
      <c r="A56" s="2" t="s">
        <v>134</v>
      </c>
      <c r="B56" s="2">
        <v>100</v>
      </c>
      <c r="C56" s="2" t="s">
        <v>28</v>
      </c>
      <c r="D56" s="2">
        <v>16.8</v>
      </c>
      <c r="E56" s="2">
        <v>2</v>
      </c>
      <c r="F56" s="2">
        <v>0</v>
      </c>
      <c r="G56" s="2">
        <v>0.5</v>
      </c>
      <c r="H56" s="2">
        <v>41</v>
      </c>
      <c r="I56" s="2">
        <v>0.4</v>
      </c>
      <c r="J56" s="2">
        <v>19</v>
      </c>
      <c r="K56" s="2">
        <v>30</v>
      </c>
      <c r="L56" s="2">
        <v>330</v>
      </c>
      <c r="M56" s="2">
        <v>0</v>
      </c>
      <c r="N56" s="2">
        <v>0.14000000000000001</v>
      </c>
      <c r="O56" s="2">
        <v>0.1</v>
      </c>
      <c r="P56" s="2">
        <v>0.28000000000000003</v>
      </c>
      <c r="Q56" s="2">
        <v>0</v>
      </c>
      <c r="R56" s="2">
        <v>0</v>
      </c>
      <c r="S56" s="2">
        <v>0</v>
      </c>
      <c r="T56" s="2">
        <v>2.38</v>
      </c>
      <c r="U56" s="2">
        <v>4.2000000000000003E-2</v>
      </c>
      <c r="V56" s="2">
        <v>6.6000000000000003E-2</v>
      </c>
      <c r="W56" s="2">
        <v>0.37</v>
      </c>
      <c r="X56" s="2">
        <v>0.25</v>
      </c>
      <c r="Y56" s="2">
        <v>9.6000000000000002E-2</v>
      </c>
      <c r="Z56" s="2">
        <v>0</v>
      </c>
      <c r="AA56" s="2">
        <v>45.5</v>
      </c>
      <c r="AB56" s="2">
        <v>0</v>
      </c>
      <c r="AC56" s="2">
        <v>546.66</v>
      </c>
      <c r="AD56" s="2">
        <v>0</v>
      </c>
      <c r="AE56" s="2">
        <v>0.22</v>
      </c>
      <c r="AF56" s="2">
        <v>48.9</v>
      </c>
      <c r="AG56" t="s">
        <v>141</v>
      </c>
    </row>
    <row r="57" spans="1:33" x14ac:dyDescent="0.35">
      <c r="A57" s="2" t="s">
        <v>135</v>
      </c>
      <c r="B57" s="2">
        <v>100</v>
      </c>
      <c r="C57" s="2" t="s">
        <v>28</v>
      </c>
      <c r="D57" s="2">
        <v>61</v>
      </c>
      <c r="E57" s="2">
        <v>1.1000000000000001</v>
      </c>
      <c r="F57" s="2">
        <v>0.5</v>
      </c>
      <c r="G57" s="2">
        <v>14.7</v>
      </c>
      <c r="H57" s="2">
        <v>34</v>
      </c>
      <c r="I57" s="2">
        <v>0.31</v>
      </c>
      <c r="J57" s="2">
        <v>17</v>
      </c>
      <c r="K57" s="2">
        <v>34</v>
      </c>
      <c r="L57" s="2">
        <v>312</v>
      </c>
      <c r="M57" s="2">
        <v>3</v>
      </c>
      <c r="N57" s="2">
        <v>0.14000000000000001</v>
      </c>
      <c r="O57" s="2">
        <v>0.13</v>
      </c>
      <c r="P57" s="2">
        <v>0.1</v>
      </c>
      <c r="Q57" s="2">
        <v>0.2</v>
      </c>
      <c r="R57" s="2">
        <v>0</v>
      </c>
      <c r="S57" s="2">
        <v>0</v>
      </c>
      <c r="T57" s="2">
        <v>93</v>
      </c>
      <c r="U57" s="2">
        <v>0.03</v>
      </c>
      <c r="V57" s="2">
        <v>0.03</v>
      </c>
      <c r="W57" s="2">
        <v>0.34</v>
      </c>
      <c r="X57" s="2">
        <v>0.18</v>
      </c>
      <c r="Y57" s="2">
        <v>0.06</v>
      </c>
      <c r="Z57" s="2">
        <v>0</v>
      </c>
      <c r="AA57" s="2">
        <v>25</v>
      </c>
      <c r="AB57" s="2">
        <v>0</v>
      </c>
      <c r="AC57" s="2">
        <v>4</v>
      </c>
      <c r="AD57" s="2">
        <v>0</v>
      </c>
      <c r="AE57" s="2">
        <v>1.5</v>
      </c>
      <c r="AF57" s="2">
        <v>40</v>
      </c>
      <c r="AG57" t="s">
        <v>141</v>
      </c>
    </row>
    <row r="58" spans="1:33" x14ac:dyDescent="0.35">
      <c r="A58" s="2" t="s">
        <v>136</v>
      </c>
      <c r="B58" s="2">
        <v>100</v>
      </c>
      <c r="C58" s="2" t="s">
        <v>28</v>
      </c>
      <c r="D58" s="2">
        <v>120</v>
      </c>
      <c r="E58" s="2">
        <v>4.4000000000000004</v>
      </c>
      <c r="F58" s="2">
        <v>1.9</v>
      </c>
      <c r="G58" s="2">
        <v>21.3</v>
      </c>
      <c r="H58" s="2">
        <v>17</v>
      </c>
      <c r="I58" s="2">
        <v>1.5</v>
      </c>
      <c r="J58" s="2">
        <v>64</v>
      </c>
      <c r="K58" s="2">
        <v>152</v>
      </c>
      <c r="L58" s="2">
        <v>172</v>
      </c>
      <c r="M58" s="2">
        <v>7</v>
      </c>
      <c r="N58" s="2">
        <v>1.1000000000000001</v>
      </c>
      <c r="O58" s="2">
        <v>0.19</v>
      </c>
      <c r="P58" s="2">
        <v>0.63</v>
      </c>
      <c r="Q58" s="2">
        <v>2.8</v>
      </c>
      <c r="R58" s="2">
        <v>0</v>
      </c>
      <c r="S58" s="2">
        <v>0</v>
      </c>
      <c r="T58" s="2">
        <v>0</v>
      </c>
      <c r="U58" s="2">
        <v>0.11</v>
      </c>
      <c r="V58" s="2">
        <v>0.11</v>
      </c>
      <c r="W58" s="2">
        <v>0.41</v>
      </c>
      <c r="X58" s="2">
        <v>0</v>
      </c>
      <c r="Y58" s="2">
        <v>0.12</v>
      </c>
      <c r="Z58" s="2">
        <v>0</v>
      </c>
      <c r="AA58" s="2">
        <v>42</v>
      </c>
      <c r="AB58" s="2">
        <v>0</v>
      </c>
      <c r="AC58" s="2">
        <v>0</v>
      </c>
      <c r="AD58" s="2">
        <v>0</v>
      </c>
      <c r="AE58" s="2">
        <v>0.63</v>
      </c>
      <c r="AF58" s="2">
        <v>0</v>
      </c>
      <c r="AG58" t="s">
        <v>141</v>
      </c>
    </row>
    <row r="59" spans="1:33" x14ac:dyDescent="0.35">
      <c r="A59" s="2" t="s">
        <v>137</v>
      </c>
      <c r="B59" s="2">
        <v>100</v>
      </c>
      <c r="C59" s="2" t="s">
        <v>28</v>
      </c>
      <c r="D59" s="2">
        <v>98</v>
      </c>
      <c r="E59" s="2">
        <v>11.1</v>
      </c>
      <c r="F59" s="2">
        <v>4.3</v>
      </c>
      <c r="G59" s="2">
        <v>3.4</v>
      </c>
      <c r="H59" s="2">
        <v>83</v>
      </c>
      <c r="I59" s="2">
        <v>7.0000000000000007E-2</v>
      </c>
      <c r="J59" s="2">
        <v>8</v>
      </c>
      <c r="K59" s="2">
        <v>159</v>
      </c>
      <c r="L59" s="2">
        <v>104</v>
      </c>
      <c r="M59" s="2">
        <v>364</v>
      </c>
      <c r="N59" s="2">
        <v>0.4</v>
      </c>
      <c r="O59" s="2">
        <v>0.03</v>
      </c>
      <c r="P59" s="2">
        <v>0</v>
      </c>
      <c r="Q59" s="2">
        <v>9.6999999999999993</v>
      </c>
      <c r="R59" s="2">
        <v>0</v>
      </c>
      <c r="S59" s="2">
        <v>0</v>
      </c>
      <c r="T59" s="2">
        <v>0</v>
      </c>
      <c r="U59" s="2">
        <v>0.03</v>
      </c>
      <c r="V59" s="2">
        <v>0.16</v>
      </c>
      <c r="W59" s="2">
        <v>0.1</v>
      </c>
      <c r="X59" s="2">
        <v>0.56000000000000005</v>
      </c>
      <c r="Y59" s="2">
        <v>0.05</v>
      </c>
      <c r="Z59" s="2">
        <v>0</v>
      </c>
      <c r="AA59" s="2">
        <v>12</v>
      </c>
      <c r="AB59" s="2">
        <v>0.43</v>
      </c>
      <c r="AC59" s="2">
        <v>37</v>
      </c>
      <c r="AD59" s="2">
        <v>0.1</v>
      </c>
      <c r="AE59" s="2">
        <v>0.08</v>
      </c>
      <c r="AF59" s="2">
        <v>0</v>
      </c>
      <c r="AG59" t="s">
        <v>141</v>
      </c>
    </row>
    <row r="60" spans="1:33" x14ac:dyDescent="0.35">
      <c r="A60" s="2" t="s">
        <v>138</v>
      </c>
      <c r="B60" s="2">
        <v>100</v>
      </c>
      <c r="C60" s="2" t="s">
        <v>28</v>
      </c>
      <c r="D60" s="2">
        <v>101</v>
      </c>
      <c r="E60" s="2">
        <v>5.5</v>
      </c>
      <c r="F60" s="2">
        <v>3.4</v>
      </c>
      <c r="G60" s="2">
        <v>12</v>
      </c>
      <c r="H60" s="2">
        <v>120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30</v>
      </c>
      <c r="AE60" s="2">
        <v>0</v>
      </c>
      <c r="AF60" s="2">
        <v>0</v>
      </c>
      <c r="AG60" t="s">
        <v>141</v>
      </c>
    </row>
    <row r="61" spans="1:33" x14ac:dyDescent="0.35">
      <c r="A61" s="2" t="s">
        <v>139</v>
      </c>
      <c r="B61" s="2">
        <v>100</v>
      </c>
      <c r="C61" s="2" t="s">
        <v>28</v>
      </c>
      <c r="D61" s="2">
        <v>356</v>
      </c>
      <c r="E61" s="2">
        <v>24.9</v>
      </c>
      <c r="F61" s="2">
        <v>27.4</v>
      </c>
      <c r="G61" s="2">
        <v>2.2000000000000002</v>
      </c>
      <c r="H61" s="2">
        <v>700</v>
      </c>
      <c r="I61" s="2">
        <v>0.24</v>
      </c>
      <c r="J61" s="2">
        <v>29</v>
      </c>
      <c r="K61" s="2">
        <v>546</v>
      </c>
      <c r="L61" s="2">
        <v>121</v>
      </c>
      <c r="M61" s="2">
        <v>819</v>
      </c>
      <c r="N61" s="2">
        <v>3.9</v>
      </c>
      <c r="O61" s="2">
        <v>0.04</v>
      </c>
      <c r="P61" s="2">
        <v>0.01</v>
      </c>
      <c r="Q61" s="2">
        <v>15</v>
      </c>
      <c r="R61" s="2">
        <v>0</v>
      </c>
      <c r="S61" s="2">
        <v>0</v>
      </c>
      <c r="T61" s="2">
        <v>0</v>
      </c>
      <c r="U61" s="2">
        <v>0.03</v>
      </c>
      <c r="V61" s="2">
        <v>0.33</v>
      </c>
      <c r="W61" s="2">
        <v>0.06</v>
      </c>
      <c r="X61" s="2">
        <v>0.34</v>
      </c>
      <c r="Y61" s="2">
        <v>0.08</v>
      </c>
      <c r="Z61" s="2">
        <v>0</v>
      </c>
      <c r="AA61" s="2">
        <v>21</v>
      </c>
      <c r="AB61" s="2">
        <v>1.5</v>
      </c>
      <c r="AC61" s="2">
        <v>165</v>
      </c>
      <c r="AD61" s="2">
        <v>0.5</v>
      </c>
      <c r="AE61" s="2">
        <v>0.24</v>
      </c>
      <c r="AF61" s="2">
        <v>2.2999999999999998</v>
      </c>
      <c r="AG61" t="s">
        <v>141</v>
      </c>
    </row>
  </sheetData>
  <autoFilter ref="A1:AF48" xr:uid="{B40D2D19-BC93-4F95-8B6C-E6520B00BACC}"/>
  <hyperlinks>
    <hyperlink ref="AG2" r:id="rId1" xr:uid="{46CFB06E-04D2-47D5-9CFA-D9D7E7B4240B}"/>
    <hyperlink ref="AG3" r:id="rId2" xr:uid="{B1E2B1EE-F95D-4909-9A76-B9DEE8D39BE2}"/>
    <hyperlink ref="AG4" r:id="rId3" xr:uid="{AD45AF7E-E22F-4AA6-AFED-4EB470010ABA}"/>
    <hyperlink ref="AG5" r:id="rId4" xr:uid="{BBD0158B-F479-4009-BC99-6969AC926E53}"/>
    <hyperlink ref="AG6" r:id="rId5" xr:uid="{80772F86-2EF3-43E2-A411-46FD38C6F278}"/>
    <hyperlink ref="AG7" r:id="rId6" xr:uid="{90B0AC7F-FC76-4F7D-8B74-606D68FDAE57}"/>
    <hyperlink ref="AG10" r:id="rId7" xr:uid="{EC23FAAB-4BA7-4DED-B9DD-07882466F02E}"/>
    <hyperlink ref="AG11" r:id="rId8" xr:uid="{F9BFE693-A5A1-4D99-9F3E-B9C1C179AD10}"/>
    <hyperlink ref="AG12" r:id="rId9" xr:uid="{1EB186DA-D1F0-48BF-B23E-5A34D289BB9F}"/>
    <hyperlink ref="AG13" r:id="rId10" xr:uid="{331CB137-69BB-4AB3-9409-997111D17915}"/>
    <hyperlink ref="AG17" r:id="rId11" xr:uid="{4F2F8998-9AC9-4F04-B169-DCD4BCC497F2}"/>
    <hyperlink ref="AG19" r:id="rId12" xr:uid="{2740A387-3859-499F-8773-8108F4D0925E}"/>
    <hyperlink ref="AG21" r:id="rId13" xr:uid="{D9C90598-811D-4F97-9DFC-2A5AA145BCD5}"/>
    <hyperlink ref="AG22" r:id="rId14" xr:uid="{3CEEED53-61DA-4018-8EEE-1BDF1220167C}"/>
    <hyperlink ref="AG23" r:id="rId15" xr:uid="{C0E91B6B-01CC-4873-BE56-F554F26D38E4}"/>
    <hyperlink ref="AG24" r:id="rId16" xr:uid="{FD8F1D01-6E41-49CC-AD4E-04088142F7E9}"/>
    <hyperlink ref="AG25" r:id="rId17" xr:uid="{D059C74E-21DD-41A5-A9A4-921941DA2CD8}"/>
    <hyperlink ref="AG26" r:id="rId18" xr:uid="{D9DA4A1D-6FB3-46BA-AB82-B7B82DB5B92E}"/>
    <hyperlink ref="AG27" r:id="rId19" xr:uid="{21DE2481-B467-4BB9-ACFD-0B66AA4793C8}"/>
    <hyperlink ref="AG29" r:id="rId20" xr:uid="{3EA3BB9A-0036-486D-B13F-8798B52D9BDD}"/>
    <hyperlink ref="AG32" r:id="rId21" xr:uid="{D34D3BC3-A5D2-4A7A-B3D4-6211F3E812A2}"/>
    <hyperlink ref="AG33" r:id="rId22" xr:uid="{A7905E6B-A622-4DEB-B189-21C4A06E0372}"/>
    <hyperlink ref="AG34" r:id="rId23" xr:uid="{1F6D3AB4-BD9F-4712-AB6A-915CF1B3C6DE}"/>
    <hyperlink ref="AG35" r:id="rId24" xr:uid="{E7FE4226-FBBF-4916-BD3D-3D6884E6EC6A}"/>
    <hyperlink ref="AG36" r:id="rId25" xr:uid="{72224447-28BC-4514-B824-C37BD7E37D6D}"/>
    <hyperlink ref="AG38" r:id="rId26" xr:uid="{6CFA5594-E7C8-45E9-8709-53D6C6AE7639}"/>
    <hyperlink ref="AG39" r:id="rId27" xr:uid="{B63DDBA4-38A4-4407-86D9-E52D2A56C119}"/>
    <hyperlink ref="AG40" r:id="rId28" xr:uid="{FD0A706F-3562-4D4C-AA9F-52C3501CCD2F}"/>
    <hyperlink ref="AG41" r:id="rId29" xr:uid="{D16CB413-6A2A-4B2F-9FDB-FD76081004F6}"/>
    <hyperlink ref="AG42" r:id="rId30" xr:uid="{030DC619-FE49-46F6-B92C-2F4CF9B5315C}"/>
    <hyperlink ref="AG43" r:id="rId31" xr:uid="{69ECDC14-6924-4F8D-B3D0-FAC1540939B5}"/>
    <hyperlink ref="AG45" r:id="rId32" xr:uid="{E446B883-612B-46B1-97DE-26F04F26E982}"/>
  </hyperlinks>
  <pageMargins left="0.7" right="0.7" top="0.75" bottom="0.75" header="0.3" footer="0.3"/>
  <pageSetup orientation="portrait" r:id="rId33"/>
  <legacy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4F61-D9A9-4DE8-9564-2FE8A321B357}">
  <dimension ref="A1:E574"/>
  <sheetViews>
    <sheetView tabSelected="1" topLeftCell="A554" workbookViewId="0">
      <selection activeCell="D573" sqref="D573"/>
    </sheetView>
  </sheetViews>
  <sheetFormatPr defaultRowHeight="14.5" x14ac:dyDescent="0.35"/>
  <cols>
    <col min="1" max="1" width="10.7265625" bestFit="1" customWidth="1"/>
    <col min="3" max="3" width="11.54296875" bestFit="1" customWidth="1"/>
    <col min="4" max="4" width="10.7265625" bestFit="1" customWidth="1"/>
    <col min="5" max="5" width="11.7265625" bestFit="1" customWidth="1"/>
  </cols>
  <sheetData>
    <row r="1" spans="1:5" x14ac:dyDescent="0.35">
      <c r="A1" s="8" t="s">
        <v>0</v>
      </c>
      <c r="B1" s="8" t="s">
        <v>59</v>
      </c>
      <c r="C1" s="8" t="s">
        <v>27</v>
      </c>
      <c r="D1" s="8" t="s">
        <v>52</v>
      </c>
      <c r="E1" s="8" t="s">
        <v>53</v>
      </c>
    </row>
    <row r="2" spans="1:5" x14ac:dyDescent="0.35">
      <c r="A2" t="s">
        <v>25</v>
      </c>
      <c r="B2">
        <v>250</v>
      </c>
      <c r="C2" t="str">
        <f>VLOOKUP(A2,'Food Masterdata'!A:C,3,0)</f>
        <v>grams</v>
      </c>
      <c r="D2" s="7">
        <v>45994</v>
      </c>
      <c r="E2" t="s">
        <v>54</v>
      </c>
    </row>
    <row r="3" spans="1:5" x14ac:dyDescent="0.35">
      <c r="A3" t="s">
        <v>43</v>
      </c>
      <c r="B3">
        <v>180</v>
      </c>
      <c r="C3" t="str">
        <f>VLOOKUP(A3,'Food Masterdata'!A:C,3,0)</f>
        <v>grams</v>
      </c>
      <c r="D3" s="7">
        <v>45994</v>
      </c>
      <c r="E3" t="s">
        <v>54</v>
      </c>
    </row>
    <row r="4" spans="1:5" x14ac:dyDescent="0.35">
      <c r="A4" t="s">
        <v>25</v>
      </c>
      <c r="B4">
        <v>250</v>
      </c>
      <c r="C4" t="str">
        <f>VLOOKUP(A4,'Food Masterdata'!A:C,3,0)</f>
        <v>grams</v>
      </c>
      <c r="D4" s="7">
        <v>45995</v>
      </c>
      <c r="E4" t="s">
        <v>54</v>
      </c>
    </row>
    <row r="5" spans="1:5" x14ac:dyDescent="0.35">
      <c r="A5" t="s">
        <v>55</v>
      </c>
      <c r="B5">
        <v>200</v>
      </c>
      <c r="C5" t="str">
        <f>VLOOKUP(A5,'Food Masterdata'!A:C,3,0)</f>
        <v>grams</v>
      </c>
      <c r="D5" s="7">
        <v>45999</v>
      </c>
      <c r="E5" t="s">
        <v>54</v>
      </c>
    </row>
    <row r="6" spans="1:5" x14ac:dyDescent="0.35">
      <c r="A6" t="s">
        <v>58</v>
      </c>
      <c r="B6">
        <v>434</v>
      </c>
      <c r="C6" t="str">
        <f>VLOOKUP(A6,'Food Masterdata'!A:C,3,0)</f>
        <v>grams</v>
      </c>
      <c r="D6" s="7">
        <v>45999</v>
      </c>
      <c r="E6" t="s">
        <v>61</v>
      </c>
    </row>
    <row r="7" spans="1:5" x14ac:dyDescent="0.35">
      <c r="A7" t="s">
        <v>55</v>
      </c>
      <c r="B7">
        <v>100</v>
      </c>
      <c r="C7" t="str">
        <f>VLOOKUP(A7,'Food Masterdata'!A:C,3,0)</f>
        <v>grams</v>
      </c>
      <c r="D7" s="7">
        <v>46000</v>
      </c>
      <c r="E7" t="s">
        <v>54</v>
      </c>
    </row>
    <row r="8" spans="1:5" x14ac:dyDescent="0.35">
      <c r="A8" t="s">
        <v>60</v>
      </c>
      <c r="B8">
        <v>50</v>
      </c>
      <c r="C8" t="str">
        <f>VLOOKUP(A8,'Food Masterdata'!A:C,3,0)</f>
        <v>grams</v>
      </c>
      <c r="D8" s="7">
        <v>46000</v>
      </c>
      <c r="E8" t="s">
        <v>61</v>
      </c>
    </row>
    <row r="9" spans="1:5" x14ac:dyDescent="0.35">
      <c r="A9" t="s">
        <v>58</v>
      </c>
      <c r="B9">
        <v>535</v>
      </c>
      <c r="C9" t="str">
        <f>VLOOKUP(A9,'Food Masterdata'!A:C,3,0)</f>
        <v>grams</v>
      </c>
      <c r="D9" s="7">
        <v>46000</v>
      </c>
      <c r="E9" t="s">
        <v>61</v>
      </c>
    </row>
    <row r="10" spans="1:5" x14ac:dyDescent="0.35">
      <c r="A10" t="s">
        <v>46</v>
      </c>
      <c r="B10">
        <v>5</v>
      </c>
      <c r="C10" t="str">
        <f>VLOOKUP(A10,'Food Masterdata'!A:C,3,0)</f>
        <v>egg</v>
      </c>
      <c r="D10" s="7">
        <v>46000</v>
      </c>
      <c r="E10" t="s">
        <v>63</v>
      </c>
    </row>
    <row r="11" spans="1:5" x14ac:dyDescent="0.35">
      <c r="A11" t="s">
        <v>55</v>
      </c>
      <c r="B11">
        <v>100</v>
      </c>
      <c r="C11" t="str">
        <f>VLOOKUP(A11,'Food Masterdata'!A:C,3,0)</f>
        <v>grams</v>
      </c>
      <c r="D11" s="7">
        <v>46001</v>
      </c>
      <c r="E11" t="s">
        <v>54</v>
      </c>
    </row>
    <row r="12" spans="1:5" x14ac:dyDescent="0.35">
      <c r="A12" t="s">
        <v>58</v>
      </c>
      <c r="B12">
        <v>480</v>
      </c>
      <c r="C12" t="str">
        <f>VLOOKUP(A12,'Food Masterdata'!A:C,3,0)</f>
        <v>grams</v>
      </c>
      <c r="D12" s="7">
        <v>46001</v>
      </c>
      <c r="E12" t="s">
        <v>61</v>
      </c>
    </row>
    <row r="13" spans="1:5" x14ac:dyDescent="0.35">
      <c r="A13" t="s">
        <v>64</v>
      </c>
      <c r="B13">
        <v>60</v>
      </c>
      <c r="C13" t="str">
        <f>VLOOKUP(A13,'Food Masterdata'!A:C,3,0)</f>
        <v>grams</v>
      </c>
      <c r="D13" s="7">
        <v>46063</v>
      </c>
      <c r="E13" t="s">
        <v>61</v>
      </c>
    </row>
    <row r="14" spans="1:5" x14ac:dyDescent="0.35">
      <c r="A14" t="s">
        <v>65</v>
      </c>
      <c r="B14">
        <v>121</v>
      </c>
      <c r="C14" t="str">
        <f>VLOOKUP(A14,'Food Masterdata'!A:C,3,0)</f>
        <v>grams</v>
      </c>
      <c r="D14" s="7">
        <v>46063</v>
      </c>
      <c r="E14" t="s">
        <v>61</v>
      </c>
    </row>
    <row r="15" spans="1:5" x14ac:dyDescent="0.35">
      <c r="A15" t="s">
        <v>46</v>
      </c>
      <c r="B15">
        <v>4</v>
      </c>
      <c r="C15" t="str">
        <f>VLOOKUP(A15,'Food Masterdata'!A:C,3,0)</f>
        <v>egg</v>
      </c>
      <c r="D15" s="7">
        <v>46063</v>
      </c>
      <c r="E15" t="s">
        <v>61</v>
      </c>
    </row>
    <row r="16" spans="1:5" x14ac:dyDescent="0.35">
      <c r="A16" t="s">
        <v>45</v>
      </c>
      <c r="B16">
        <v>51</v>
      </c>
      <c r="C16" t="str">
        <f>VLOOKUP(A16,'Food Masterdata'!A:C,3,0)</f>
        <v>grams</v>
      </c>
      <c r="D16" s="7">
        <v>46063</v>
      </c>
      <c r="E16" t="s">
        <v>61</v>
      </c>
    </row>
    <row r="17" spans="1:5" x14ac:dyDescent="0.35">
      <c r="A17" t="s">
        <v>66</v>
      </c>
      <c r="B17">
        <v>60</v>
      </c>
      <c r="C17" t="str">
        <f>VLOOKUP(A17,'Food Masterdata'!A:C,3,0)</f>
        <v>grams</v>
      </c>
      <c r="D17" s="7">
        <v>46063</v>
      </c>
      <c r="E17" t="s">
        <v>63</v>
      </c>
    </row>
    <row r="18" spans="1:5" x14ac:dyDescent="0.35">
      <c r="A18" t="s">
        <v>62</v>
      </c>
      <c r="B18">
        <v>9</v>
      </c>
      <c r="C18" t="str">
        <f>VLOOKUP(A18,'Food Masterdata'!A:C,3,0)</f>
        <v>grams</v>
      </c>
      <c r="D18" s="7">
        <v>46063</v>
      </c>
      <c r="E18" t="s">
        <v>63</v>
      </c>
    </row>
    <row r="19" spans="1:5" x14ac:dyDescent="0.35">
      <c r="A19" t="s">
        <v>69</v>
      </c>
      <c r="B19">
        <v>1</v>
      </c>
      <c r="C19" t="str">
        <f>VLOOKUP(A19,'Food Masterdata'!A:C,3,0)</f>
        <v>can</v>
      </c>
      <c r="D19" s="7">
        <v>46063</v>
      </c>
      <c r="E19" t="s">
        <v>54</v>
      </c>
    </row>
    <row r="20" spans="1:5" x14ac:dyDescent="0.35">
      <c r="A20" t="s">
        <v>69</v>
      </c>
      <c r="B20">
        <v>1</v>
      </c>
      <c r="C20" t="str">
        <f>VLOOKUP(A20,'Food Masterdata'!A:C,3,0)</f>
        <v>can</v>
      </c>
      <c r="D20" s="7">
        <v>46063</v>
      </c>
      <c r="E20" t="s">
        <v>63</v>
      </c>
    </row>
    <row r="21" spans="1:5" x14ac:dyDescent="0.35">
      <c r="A21" t="s">
        <v>67</v>
      </c>
      <c r="B21">
        <v>120</v>
      </c>
      <c r="C21" t="str">
        <f>VLOOKUP(A21,'Food Masterdata'!A:C,3,0)</f>
        <v>grams</v>
      </c>
      <c r="D21" s="7">
        <v>46063</v>
      </c>
      <c r="E21" t="s">
        <v>63</v>
      </c>
    </row>
    <row r="22" spans="1:5" x14ac:dyDescent="0.35">
      <c r="A22" t="s">
        <v>57</v>
      </c>
      <c r="B22">
        <v>42</v>
      </c>
      <c r="C22" t="str">
        <f>VLOOKUP(A22,'Food Masterdata'!A:C,3,0)</f>
        <v>grams</v>
      </c>
      <c r="D22" s="7">
        <v>46063</v>
      </c>
      <c r="E22" t="s">
        <v>54</v>
      </c>
    </row>
    <row r="23" spans="1:5" x14ac:dyDescent="0.35">
      <c r="A23" t="s">
        <v>71</v>
      </c>
      <c r="B23">
        <v>20</v>
      </c>
      <c r="C23" t="str">
        <f>VLOOKUP(A23,'Food Masterdata'!A:C,3,0)</f>
        <v>grams</v>
      </c>
      <c r="D23" s="7">
        <v>46063</v>
      </c>
      <c r="E23" t="s">
        <v>54</v>
      </c>
    </row>
    <row r="24" spans="1:5" x14ac:dyDescent="0.35">
      <c r="A24" t="s">
        <v>55</v>
      </c>
      <c r="B24">
        <v>71</v>
      </c>
      <c r="C24" t="str">
        <f>VLOOKUP(A24,'Food Masterdata'!A:C,3,0)</f>
        <v>grams</v>
      </c>
      <c r="D24" s="7">
        <v>46063</v>
      </c>
      <c r="E24" t="s">
        <v>74</v>
      </c>
    </row>
    <row r="25" spans="1:5" x14ac:dyDescent="0.35">
      <c r="A25" t="s">
        <v>65</v>
      </c>
      <c r="B25">
        <v>187</v>
      </c>
      <c r="C25" t="str">
        <f>VLOOKUP(A25,'Food Masterdata'!A:C,3,0)</f>
        <v>grams</v>
      </c>
      <c r="D25" s="7">
        <v>46063</v>
      </c>
      <c r="E25" t="s">
        <v>74</v>
      </c>
    </row>
    <row r="26" spans="1:5" x14ac:dyDescent="0.35">
      <c r="A26" t="s">
        <v>72</v>
      </c>
      <c r="B26">
        <v>167</v>
      </c>
      <c r="C26" t="str">
        <f>VLOOKUP(A26,'Food Masterdata'!A:C,3,0)</f>
        <v>grams</v>
      </c>
      <c r="D26" s="7">
        <v>46063</v>
      </c>
      <c r="E26" t="s">
        <v>74</v>
      </c>
    </row>
    <row r="27" spans="1:5" x14ac:dyDescent="0.35">
      <c r="A27" t="s">
        <v>75</v>
      </c>
      <c r="B27">
        <v>100</v>
      </c>
      <c r="C27" t="str">
        <f>VLOOKUP(A27,'Food Masterdata'!A:C,3,0)</f>
        <v>grams</v>
      </c>
      <c r="D27" s="7">
        <v>46063</v>
      </c>
      <c r="E27" t="s">
        <v>74</v>
      </c>
    </row>
    <row r="28" spans="1:5" x14ac:dyDescent="0.35">
      <c r="A28" t="s">
        <v>69</v>
      </c>
      <c r="B28">
        <v>1</v>
      </c>
      <c r="C28" t="str">
        <f>VLOOKUP(A28,'Food Masterdata'!A:C,3,0)</f>
        <v>can</v>
      </c>
      <c r="D28" s="7">
        <v>46064</v>
      </c>
      <c r="E28" s="7" t="s">
        <v>54</v>
      </c>
    </row>
    <row r="29" spans="1:5" x14ac:dyDescent="0.35">
      <c r="A29" t="s">
        <v>43</v>
      </c>
      <c r="B29">
        <v>170</v>
      </c>
      <c r="C29" t="str">
        <f>VLOOKUP(A29,'Food Masterdata'!A:C,3,0)</f>
        <v>grams</v>
      </c>
      <c r="D29" s="7">
        <v>46064</v>
      </c>
      <c r="E29" s="7" t="s">
        <v>54</v>
      </c>
    </row>
    <row r="30" spans="1:5" x14ac:dyDescent="0.35">
      <c r="A30" t="s">
        <v>25</v>
      </c>
      <c r="B30">
        <v>225</v>
      </c>
      <c r="C30" t="str">
        <f>VLOOKUP(A30,'Food Masterdata'!A:C,3,0)</f>
        <v>grams</v>
      </c>
      <c r="D30" s="7">
        <v>46064</v>
      </c>
      <c r="E30" s="7" t="s">
        <v>54</v>
      </c>
    </row>
    <row r="31" spans="1:5" x14ac:dyDescent="0.35">
      <c r="A31" t="s">
        <v>71</v>
      </c>
      <c r="B31">
        <v>20</v>
      </c>
      <c r="C31" t="str">
        <f>VLOOKUP(A31,'Food Masterdata'!A:C,3,0)</f>
        <v>grams</v>
      </c>
      <c r="D31" s="7">
        <v>46064</v>
      </c>
      <c r="E31" s="7" t="s">
        <v>54</v>
      </c>
    </row>
    <row r="32" spans="1:5" x14ac:dyDescent="0.35">
      <c r="A32" t="s">
        <v>58</v>
      </c>
      <c r="B32">
        <v>534</v>
      </c>
      <c r="C32" t="str">
        <f>VLOOKUP(A32,'Food Masterdata'!A:C,3,0)</f>
        <v>grams</v>
      </c>
      <c r="D32" s="7">
        <v>46064</v>
      </c>
      <c r="E32" s="7" t="s">
        <v>61</v>
      </c>
    </row>
    <row r="33" spans="1:5" x14ac:dyDescent="0.35">
      <c r="A33" t="s">
        <v>76</v>
      </c>
      <c r="B33">
        <v>300</v>
      </c>
      <c r="C33" t="str">
        <f>VLOOKUP(A33,'Food Masterdata'!A:C,3,0)</f>
        <v>grams</v>
      </c>
      <c r="D33" s="7">
        <v>46064</v>
      </c>
      <c r="E33" s="7" t="s">
        <v>61</v>
      </c>
    </row>
    <row r="34" spans="1:5" x14ac:dyDescent="0.35">
      <c r="A34" t="s">
        <v>77</v>
      </c>
      <c r="B34">
        <v>118</v>
      </c>
      <c r="C34" t="str">
        <f>VLOOKUP(A34,'Food Masterdata'!A:C,3,0)</f>
        <v>grams</v>
      </c>
      <c r="D34" s="7">
        <v>46064</v>
      </c>
      <c r="E34" s="7" t="s">
        <v>63</v>
      </c>
    </row>
    <row r="35" spans="1:5" x14ac:dyDescent="0.35">
      <c r="A35" t="s">
        <v>60</v>
      </c>
      <c r="B35">
        <v>51</v>
      </c>
      <c r="C35" t="str">
        <f>VLOOKUP(A35,'Food Masterdata'!A:C,3,0)</f>
        <v>grams</v>
      </c>
      <c r="D35" s="7">
        <v>46064</v>
      </c>
      <c r="E35" s="7" t="s">
        <v>63</v>
      </c>
    </row>
    <row r="36" spans="1:5" x14ac:dyDescent="0.35">
      <c r="A36" t="s">
        <v>62</v>
      </c>
      <c r="B36">
        <v>8</v>
      </c>
      <c r="C36" t="str">
        <f>VLOOKUP(A36,'Food Masterdata'!A:C,3,0)</f>
        <v>grams</v>
      </c>
      <c r="D36" s="7">
        <v>46064</v>
      </c>
      <c r="E36" s="7" t="s">
        <v>63</v>
      </c>
    </row>
    <row r="37" spans="1:5" x14ac:dyDescent="0.35">
      <c r="A37" t="s">
        <v>69</v>
      </c>
      <c r="B37">
        <v>1</v>
      </c>
      <c r="C37" t="str">
        <f>VLOOKUP(A37,'Food Masterdata'!A:C,3,0)</f>
        <v>can</v>
      </c>
      <c r="D37" s="7">
        <v>46064</v>
      </c>
      <c r="E37" s="7" t="s">
        <v>74</v>
      </c>
    </row>
    <row r="38" spans="1:5" x14ac:dyDescent="0.35">
      <c r="A38" t="s">
        <v>69</v>
      </c>
      <c r="B38">
        <v>1</v>
      </c>
      <c r="C38" t="str">
        <f>VLOOKUP(A38,'Food Masterdata'!A:C,3,0)</f>
        <v>can</v>
      </c>
      <c r="D38" s="7">
        <v>46065</v>
      </c>
      <c r="E38" s="7" t="s">
        <v>54</v>
      </c>
    </row>
    <row r="39" spans="1:5" x14ac:dyDescent="0.35">
      <c r="A39" t="s">
        <v>43</v>
      </c>
      <c r="B39">
        <v>170</v>
      </c>
      <c r="C39" t="str">
        <f>VLOOKUP(A39,'Food Masterdata'!A:C,3,0)</f>
        <v>grams</v>
      </c>
      <c r="D39" s="7">
        <v>46065</v>
      </c>
      <c r="E39" s="7" t="s">
        <v>54</v>
      </c>
    </row>
    <row r="40" spans="1:5" x14ac:dyDescent="0.35">
      <c r="A40" t="s">
        <v>25</v>
      </c>
      <c r="B40">
        <v>225</v>
      </c>
      <c r="C40" t="str">
        <f>VLOOKUP(A40,'Food Masterdata'!A:C,3,0)</f>
        <v>grams</v>
      </c>
      <c r="D40" s="7">
        <v>46065</v>
      </c>
      <c r="E40" s="7" t="s">
        <v>54</v>
      </c>
    </row>
    <row r="41" spans="1:5" x14ac:dyDescent="0.35">
      <c r="A41" t="s">
        <v>71</v>
      </c>
      <c r="B41">
        <v>20</v>
      </c>
      <c r="C41" t="str">
        <f>VLOOKUP(A41,'Food Masterdata'!A:C,3,0)</f>
        <v>grams</v>
      </c>
      <c r="D41" s="7">
        <v>46065</v>
      </c>
      <c r="E41" s="7" t="s">
        <v>54</v>
      </c>
    </row>
    <row r="42" spans="1:5" x14ac:dyDescent="0.35">
      <c r="A42" t="s">
        <v>78</v>
      </c>
      <c r="B42">
        <v>780</v>
      </c>
      <c r="C42" t="str">
        <f>VLOOKUP(A42,'Food Masterdata'!A:C,3,0)</f>
        <v>grams</v>
      </c>
      <c r="D42" s="7">
        <v>46065</v>
      </c>
      <c r="E42" s="7" t="s">
        <v>61</v>
      </c>
    </row>
    <row r="43" spans="1:5" x14ac:dyDescent="0.35">
      <c r="A43" t="s">
        <v>79</v>
      </c>
      <c r="B43">
        <v>4</v>
      </c>
      <c r="C43" t="str">
        <f>VLOOKUP(A43,'Food Masterdata'!A:C,3,0)</f>
        <v>grams</v>
      </c>
      <c r="D43" s="7">
        <v>46065</v>
      </c>
      <c r="E43" s="7" t="s">
        <v>61</v>
      </c>
    </row>
    <row r="44" spans="1:5" x14ac:dyDescent="0.35">
      <c r="A44" t="s">
        <v>80</v>
      </c>
      <c r="B44">
        <v>450</v>
      </c>
      <c r="C44" t="str">
        <f>VLOOKUP(A44,'Food Masterdata'!A:C,3,0)</f>
        <v>grams</v>
      </c>
      <c r="D44" s="7">
        <v>46065</v>
      </c>
      <c r="E44" s="7" t="s">
        <v>63</v>
      </c>
    </row>
    <row r="45" spans="1:5" x14ac:dyDescent="0.35">
      <c r="A45" t="s">
        <v>62</v>
      </c>
      <c r="B45">
        <v>8</v>
      </c>
      <c r="C45" t="str">
        <f>VLOOKUP(A45,'Food Masterdata'!A:C,3,0)</f>
        <v>grams</v>
      </c>
      <c r="D45" s="7">
        <v>46065</v>
      </c>
      <c r="E45" s="7" t="s">
        <v>74</v>
      </c>
    </row>
    <row r="46" spans="1:5" x14ac:dyDescent="0.35">
      <c r="A46" t="s">
        <v>81</v>
      </c>
      <c r="B46">
        <v>50</v>
      </c>
      <c r="C46" t="str">
        <f>VLOOKUP(A46,'Food Masterdata'!A:C,3,0)</f>
        <v>grams</v>
      </c>
      <c r="D46" s="7">
        <v>46065</v>
      </c>
      <c r="E46" s="7" t="s">
        <v>74</v>
      </c>
    </row>
    <row r="47" spans="1:5" x14ac:dyDescent="0.35">
      <c r="A47" t="s">
        <v>57</v>
      </c>
      <c r="B47">
        <v>62</v>
      </c>
      <c r="C47" t="str">
        <f>VLOOKUP(A47,'Food Masterdata'!A:C,3,0)</f>
        <v>grams</v>
      </c>
      <c r="D47" s="7">
        <v>46066</v>
      </c>
      <c r="E47" s="7" t="s">
        <v>54</v>
      </c>
    </row>
    <row r="48" spans="1:5" x14ac:dyDescent="0.35">
      <c r="A48" t="s">
        <v>79</v>
      </c>
      <c r="B48">
        <v>4</v>
      </c>
      <c r="C48" t="str">
        <f>VLOOKUP(A48,'Food Masterdata'!A:C,3,0)</f>
        <v>grams</v>
      </c>
      <c r="D48" s="7">
        <v>46066</v>
      </c>
      <c r="E48" s="7" t="s">
        <v>54</v>
      </c>
    </row>
    <row r="49" spans="1:5" x14ac:dyDescent="0.35">
      <c r="A49" t="s">
        <v>71</v>
      </c>
      <c r="B49">
        <v>20</v>
      </c>
      <c r="C49" t="str">
        <f>VLOOKUP(A49,'Food Masterdata'!A:C,3,0)</f>
        <v>grams</v>
      </c>
      <c r="D49" s="7">
        <v>46066</v>
      </c>
      <c r="E49" s="7" t="s">
        <v>54</v>
      </c>
    </row>
    <row r="50" spans="1:5" x14ac:dyDescent="0.35">
      <c r="A50" t="s">
        <v>69</v>
      </c>
      <c r="B50">
        <v>1</v>
      </c>
      <c r="C50" t="str">
        <f>VLOOKUP(A50,'Food Masterdata'!A:C,3,0)</f>
        <v>can</v>
      </c>
      <c r="D50" s="7">
        <v>46066</v>
      </c>
      <c r="E50" s="7" t="s">
        <v>54</v>
      </c>
    </row>
    <row r="51" spans="1:5" x14ac:dyDescent="0.35">
      <c r="A51" t="s">
        <v>58</v>
      </c>
      <c r="B51">
        <v>458</v>
      </c>
      <c r="C51" t="str">
        <f>VLOOKUP(A51,'Food Masterdata'!A:C,3,0)</f>
        <v>grams</v>
      </c>
      <c r="D51" s="7">
        <v>46066</v>
      </c>
      <c r="E51" s="7" t="s">
        <v>61</v>
      </c>
    </row>
    <row r="52" spans="1:5" x14ac:dyDescent="0.35">
      <c r="A52" t="s">
        <v>76</v>
      </c>
      <c r="B52">
        <v>300</v>
      </c>
      <c r="C52" t="str">
        <f>VLOOKUP(A52,'Food Masterdata'!A:C,3,0)</f>
        <v>grams</v>
      </c>
      <c r="D52" s="7">
        <v>46066</v>
      </c>
      <c r="E52" s="7" t="s">
        <v>61</v>
      </c>
    </row>
    <row r="53" spans="1:5" x14ac:dyDescent="0.35">
      <c r="A53" t="s">
        <v>67</v>
      </c>
      <c r="B53">
        <v>240</v>
      </c>
      <c r="C53" t="str">
        <f>VLOOKUP(A53,'Food Masterdata'!A:C,3,0)</f>
        <v>grams</v>
      </c>
      <c r="D53" s="7">
        <v>46066</v>
      </c>
      <c r="E53" s="7" t="s">
        <v>63</v>
      </c>
    </row>
    <row r="54" spans="1:5" x14ac:dyDescent="0.35">
      <c r="A54" t="s">
        <v>62</v>
      </c>
      <c r="B54">
        <v>9</v>
      </c>
      <c r="C54" t="str">
        <f>VLOOKUP(A54,'Food Masterdata'!A:C,3,0)</f>
        <v>grams</v>
      </c>
      <c r="D54" s="7">
        <v>46066</v>
      </c>
      <c r="E54" s="7" t="s">
        <v>63</v>
      </c>
    </row>
    <row r="55" spans="1:5" x14ac:dyDescent="0.35">
      <c r="A55" t="s">
        <v>81</v>
      </c>
      <c r="B55">
        <v>52</v>
      </c>
      <c r="C55" t="str">
        <f>VLOOKUP(A55,'Food Masterdata'!A:C,3,0)</f>
        <v>grams</v>
      </c>
      <c r="D55" s="7">
        <v>46066</v>
      </c>
      <c r="E55" s="7" t="s">
        <v>63</v>
      </c>
    </row>
    <row r="56" spans="1:5" x14ac:dyDescent="0.35">
      <c r="A56" t="s">
        <v>55</v>
      </c>
      <c r="B56">
        <v>57</v>
      </c>
      <c r="C56" t="str">
        <f>VLOOKUP(A56,'Food Masterdata'!A:C,3,0)</f>
        <v>grams</v>
      </c>
      <c r="D56" s="7">
        <v>46066</v>
      </c>
      <c r="E56" s="7" t="s">
        <v>74</v>
      </c>
    </row>
    <row r="57" spans="1:5" x14ac:dyDescent="0.35">
      <c r="A57" t="s">
        <v>72</v>
      </c>
      <c r="B57">
        <v>221</v>
      </c>
      <c r="C57" t="str">
        <f>VLOOKUP(A57,'Food Masterdata'!A:C,3,0)</f>
        <v>grams</v>
      </c>
      <c r="D57" s="7">
        <v>46066</v>
      </c>
      <c r="E57" s="7" t="s">
        <v>74</v>
      </c>
    </row>
    <row r="58" spans="1:5" x14ac:dyDescent="0.35">
      <c r="A58" t="s">
        <v>69</v>
      </c>
      <c r="B58">
        <v>1</v>
      </c>
      <c r="C58" t="str">
        <f>VLOOKUP(A58,'Food Masterdata'!A:C,3,0)</f>
        <v>can</v>
      </c>
      <c r="D58" s="7">
        <v>46067</v>
      </c>
      <c r="E58" s="7" t="s">
        <v>54</v>
      </c>
    </row>
    <row r="59" spans="1:5" x14ac:dyDescent="0.35">
      <c r="A59" t="s">
        <v>25</v>
      </c>
      <c r="B59">
        <v>225</v>
      </c>
      <c r="C59" t="str">
        <f>VLOOKUP(A59,'Food Masterdata'!A:C,3,0)</f>
        <v>grams</v>
      </c>
      <c r="D59" s="7">
        <v>46067</v>
      </c>
      <c r="E59" s="7" t="s">
        <v>54</v>
      </c>
    </row>
    <row r="60" spans="1:5" x14ac:dyDescent="0.35">
      <c r="A60" t="s">
        <v>90</v>
      </c>
      <c r="B60">
        <v>74</v>
      </c>
      <c r="C60" t="str">
        <f>VLOOKUP(A60,'Food Masterdata'!A:C,3,0)</f>
        <v>grams</v>
      </c>
      <c r="D60" s="7">
        <v>46067</v>
      </c>
      <c r="E60" s="7" t="s">
        <v>54</v>
      </c>
    </row>
    <row r="61" spans="1:5" x14ac:dyDescent="0.35">
      <c r="A61" t="s">
        <v>71</v>
      </c>
      <c r="B61">
        <v>15</v>
      </c>
      <c r="C61" t="str">
        <f>VLOOKUP(A61,'Food Masterdata'!A:C,3,0)</f>
        <v>grams</v>
      </c>
      <c r="D61" s="7">
        <v>46067</v>
      </c>
      <c r="E61" s="7" t="s">
        <v>54</v>
      </c>
    </row>
    <row r="62" spans="1:5" x14ac:dyDescent="0.35">
      <c r="A62" t="s">
        <v>64</v>
      </c>
      <c r="B62">
        <v>42.5</v>
      </c>
      <c r="C62" t="str">
        <f>VLOOKUP(A62,'Food Masterdata'!A:C,3,0)</f>
        <v>grams</v>
      </c>
      <c r="D62" s="7">
        <v>46067</v>
      </c>
      <c r="E62" s="7" t="s">
        <v>61</v>
      </c>
    </row>
    <row r="63" spans="1:5" x14ac:dyDescent="0.35">
      <c r="A63" t="s">
        <v>91</v>
      </c>
      <c r="B63">
        <v>85.5</v>
      </c>
      <c r="C63" t="str">
        <f>VLOOKUP(A63,'Food Masterdata'!A:C,3,0)</f>
        <v>grams</v>
      </c>
      <c r="D63" s="7">
        <v>46067</v>
      </c>
      <c r="E63" s="7" t="s">
        <v>61</v>
      </c>
    </row>
    <row r="64" spans="1:5" x14ac:dyDescent="0.35">
      <c r="A64" t="s">
        <v>93</v>
      </c>
      <c r="B64">
        <v>90</v>
      </c>
      <c r="C64" t="str">
        <f>VLOOKUP(A64,'Food Masterdata'!A:C,3,0)</f>
        <v>grams</v>
      </c>
      <c r="D64" s="7">
        <v>46067</v>
      </c>
      <c r="E64" s="7" t="s">
        <v>61</v>
      </c>
    </row>
    <row r="65" spans="1:5" x14ac:dyDescent="0.35">
      <c r="A65" t="s">
        <v>94</v>
      </c>
      <c r="B65">
        <v>250</v>
      </c>
      <c r="C65" t="str">
        <f>VLOOKUP(A65,'Food Masterdata'!A:C,3,0)</f>
        <v>grams</v>
      </c>
      <c r="D65" s="7">
        <v>46067</v>
      </c>
      <c r="E65" s="7" t="s">
        <v>61</v>
      </c>
    </row>
    <row r="66" spans="1:5" x14ac:dyDescent="0.35">
      <c r="A66" t="s">
        <v>95</v>
      </c>
      <c r="B66">
        <v>1</v>
      </c>
      <c r="C66" t="str">
        <f>VLOOKUP(A66,'Food Masterdata'!A:C,3,0)</f>
        <v>grams</v>
      </c>
      <c r="D66" s="7">
        <v>46067</v>
      </c>
      <c r="E66" s="7" t="s">
        <v>61</v>
      </c>
    </row>
    <row r="67" spans="1:5" x14ac:dyDescent="0.35">
      <c r="A67" t="s">
        <v>97</v>
      </c>
      <c r="B67">
        <v>1</v>
      </c>
      <c r="C67" t="str">
        <f>VLOOKUP(A67,'Food Masterdata'!A:C,3,0)</f>
        <v>grams</v>
      </c>
      <c r="D67" s="7">
        <v>46067</v>
      </c>
      <c r="E67" s="7" t="s">
        <v>61</v>
      </c>
    </row>
    <row r="68" spans="1:5" x14ac:dyDescent="0.35">
      <c r="A68" t="s">
        <v>98</v>
      </c>
      <c r="B68">
        <v>1</v>
      </c>
      <c r="C68" t="str">
        <f>VLOOKUP(A68,'Food Masterdata'!A:C,3,0)</f>
        <v>grams</v>
      </c>
      <c r="D68" s="7">
        <v>46067</v>
      </c>
      <c r="E68" s="7" t="s">
        <v>61</v>
      </c>
    </row>
    <row r="69" spans="1:5" x14ac:dyDescent="0.35">
      <c r="A69" t="s">
        <v>62</v>
      </c>
      <c r="B69">
        <v>6</v>
      </c>
      <c r="C69" t="str">
        <f>VLOOKUP(A69,'Food Masterdata'!A:C,3,0)</f>
        <v>grams</v>
      </c>
      <c r="D69" s="7">
        <v>46067</v>
      </c>
      <c r="E69" s="7" t="s">
        <v>63</v>
      </c>
    </row>
    <row r="70" spans="1:5" x14ac:dyDescent="0.35">
      <c r="A70" t="s">
        <v>81</v>
      </c>
      <c r="B70">
        <v>50</v>
      </c>
      <c r="C70" t="str">
        <f>VLOOKUP(A70,'Food Masterdata'!A:C,3,0)</f>
        <v>grams</v>
      </c>
      <c r="D70" s="7">
        <v>46067</v>
      </c>
      <c r="E70" s="7" t="s">
        <v>63</v>
      </c>
    </row>
    <row r="71" spans="1:5" x14ac:dyDescent="0.35">
      <c r="A71" t="s">
        <v>46</v>
      </c>
      <c r="B71">
        <v>5</v>
      </c>
      <c r="C71" t="str">
        <f>VLOOKUP(A71,'Food Masterdata'!A:C,3,0)</f>
        <v>egg</v>
      </c>
      <c r="D71" s="7">
        <v>46067</v>
      </c>
      <c r="E71" s="7" t="s">
        <v>63</v>
      </c>
    </row>
    <row r="72" spans="1:5" x14ac:dyDescent="0.35">
      <c r="A72" t="s">
        <v>64</v>
      </c>
      <c r="B72">
        <v>42.5</v>
      </c>
      <c r="C72" t="str">
        <f>VLOOKUP(A72,'Food Masterdata'!A:C,3,0)</f>
        <v>grams</v>
      </c>
      <c r="D72" s="7">
        <v>46068</v>
      </c>
      <c r="E72" s="7" t="s">
        <v>54</v>
      </c>
    </row>
    <row r="73" spans="1:5" x14ac:dyDescent="0.35">
      <c r="A73" t="s">
        <v>91</v>
      </c>
      <c r="B73">
        <v>85.5</v>
      </c>
      <c r="C73" t="str">
        <f>VLOOKUP(A73,'Food Masterdata'!A:C,3,0)</f>
        <v>grams</v>
      </c>
      <c r="D73" s="7">
        <v>46068</v>
      </c>
      <c r="E73" s="7" t="s">
        <v>54</v>
      </c>
    </row>
    <row r="74" spans="1:5" x14ac:dyDescent="0.35">
      <c r="A74" t="s">
        <v>93</v>
      </c>
      <c r="B74">
        <v>90</v>
      </c>
      <c r="C74" t="str">
        <f>VLOOKUP(A74,'Food Masterdata'!A:C,3,0)</f>
        <v>grams</v>
      </c>
      <c r="D74" s="7">
        <v>46068</v>
      </c>
      <c r="E74" s="7" t="s">
        <v>54</v>
      </c>
    </row>
    <row r="75" spans="1:5" x14ac:dyDescent="0.35">
      <c r="A75" t="s">
        <v>94</v>
      </c>
      <c r="B75">
        <v>250</v>
      </c>
      <c r="C75" t="str">
        <f>VLOOKUP(A75,'Food Masterdata'!A:C,3,0)</f>
        <v>grams</v>
      </c>
      <c r="D75" s="7">
        <v>46068</v>
      </c>
      <c r="E75" s="7" t="s">
        <v>54</v>
      </c>
    </row>
    <row r="76" spans="1:5" x14ac:dyDescent="0.35">
      <c r="A76" t="s">
        <v>95</v>
      </c>
      <c r="B76">
        <v>1</v>
      </c>
      <c r="C76" t="str">
        <f>VLOOKUP(A76,'Food Masterdata'!A:C,3,0)</f>
        <v>grams</v>
      </c>
      <c r="D76" s="7">
        <v>46068</v>
      </c>
      <c r="E76" s="7" t="s">
        <v>54</v>
      </c>
    </row>
    <row r="77" spans="1:5" x14ac:dyDescent="0.35">
      <c r="A77" t="s">
        <v>97</v>
      </c>
      <c r="B77">
        <v>1</v>
      </c>
      <c r="C77" t="str">
        <f>VLOOKUP(A77,'Food Masterdata'!A:C,3,0)</f>
        <v>grams</v>
      </c>
      <c r="D77" s="7">
        <v>46068</v>
      </c>
      <c r="E77" s="7" t="s">
        <v>54</v>
      </c>
    </row>
    <row r="78" spans="1:5" x14ac:dyDescent="0.35">
      <c r="A78" t="s">
        <v>98</v>
      </c>
      <c r="B78">
        <v>1</v>
      </c>
      <c r="C78" t="str">
        <f>VLOOKUP(A78,'Food Masterdata'!A:C,3,0)</f>
        <v>grams</v>
      </c>
      <c r="D78" s="7">
        <v>46068</v>
      </c>
      <c r="E78" s="7" t="s">
        <v>54</v>
      </c>
    </row>
    <row r="79" spans="1:5" x14ac:dyDescent="0.35">
      <c r="A79" t="s">
        <v>69</v>
      </c>
      <c r="B79">
        <v>1</v>
      </c>
      <c r="C79" t="str">
        <f>VLOOKUP(A79,'Food Masterdata'!A:C,3,0)</f>
        <v>can</v>
      </c>
      <c r="D79" s="7">
        <v>46068</v>
      </c>
      <c r="E79" s="7" t="s">
        <v>54</v>
      </c>
    </row>
    <row r="80" spans="1:5" x14ac:dyDescent="0.35">
      <c r="A80" t="s">
        <v>60</v>
      </c>
      <c r="B80">
        <v>55</v>
      </c>
      <c r="C80" t="str">
        <f>VLOOKUP(A80,'Food Masterdata'!A:C,3,0)</f>
        <v>grams</v>
      </c>
      <c r="D80" s="7">
        <v>46068</v>
      </c>
      <c r="E80" s="7" t="s">
        <v>61</v>
      </c>
    </row>
    <row r="81" spans="1:5" x14ac:dyDescent="0.35">
      <c r="A81" t="s">
        <v>69</v>
      </c>
      <c r="B81">
        <v>1</v>
      </c>
      <c r="C81" t="str">
        <f>VLOOKUP(A81,'Food Masterdata'!A:C,3,0)</f>
        <v>can</v>
      </c>
      <c r="D81" s="7">
        <v>46068</v>
      </c>
      <c r="E81" s="7" t="s">
        <v>61</v>
      </c>
    </row>
    <row r="82" spans="1:5" x14ac:dyDescent="0.35">
      <c r="A82" t="s">
        <v>46</v>
      </c>
      <c r="B82">
        <v>5</v>
      </c>
      <c r="C82" t="str">
        <f>VLOOKUP(A82,'Food Masterdata'!A:C,3,0)</f>
        <v>egg</v>
      </c>
      <c r="D82" s="7">
        <v>46068</v>
      </c>
      <c r="E82" s="7" t="s">
        <v>61</v>
      </c>
    </row>
    <row r="83" spans="1:5" x14ac:dyDescent="0.35">
      <c r="A83" t="s">
        <v>62</v>
      </c>
      <c r="B83">
        <v>6</v>
      </c>
      <c r="C83" t="str">
        <f>VLOOKUP(A83,'Food Masterdata'!A:C,3,0)</f>
        <v>grams</v>
      </c>
      <c r="D83" s="7">
        <v>46068</v>
      </c>
      <c r="E83" s="7" t="s">
        <v>61</v>
      </c>
    </row>
    <row r="84" spans="1:5" x14ac:dyDescent="0.35">
      <c r="A84" t="s">
        <v>55</v>
      </c>
      <c r="B84">
        <v>82</v>
      </c>
      <c r="C84" t="str">
        <f>VLOOKUP(A84,'Food Masterdata'!A:C,3,0)</f>
        <v>grams</v>
      </c>
      <c r="D84" s="7">
        <v>46068</v>
      </c>
      <c r="E84" s="7" t="s">
        <v>63</v>
      </c>
    </row>
    <row r="85" spans="1:5" x14ac:dyDescent="0.35">
      <c r="A85" t="s">
        <v>79</v>
      </c>
      <c r="B85">
        <v>2</v>
      </c>
      <c r="C85" t="str">
        <f>VLOOKUP(A85,'Food Masterdata'!A:C,3,0)</f>
        <v>grams</v>
      </c>
      <c r="D85" s="7">
        <v>46068</v>
      </c>
      <c r="E85" s="7" t="s">
        <v>63</v>
      </c>
    </row>
    <row r="86" spans="1:5" x14ac:dyDescent="0.35">
      <c r="A86" t="s">
        <v>72</v>
      </c>
      <c r="B86">
        <v>102</v>
      </c>
      <c r="C86" t="str">
        <f>VLOOKUP(A86,'Food Masterdata'!A:C,3,0)</f>
        <v>grams</v>
      </c>
      <c r="D86" s="7">
        <v>46068</v>
      </c>
      <c r="E86" s="7" t="s">
        <v>63</v>
      </c>
    </row>
    <row r="87" spans="1:5" x14ac:dyDescent="0.35">
      <c r="A87" t="s">
        <v>25</v>
      </c>
      <c r="B87">
        <v>225</v>
      </c>
      <c r="C87" t="str">
        <f>VLOOKUP(A87,'Food Masterdata'!A:C,3,0)</f>
        <v>grams</v>
      </c>
      <c r="D87" s="7">
        <v>46068</v>
      </c>
      <c r="E87" s="7" t="s">
        <v>63</v>
      </c>
    </row>
    <row r="88" spans="1:5" x14ac:dyDescent="0.35">
      <c r="A88" t="s">
        <v>90</v>
      </c>
      <c r="B88">
        <v>74</v>
      </c>
      <c r="C88" t="str">
        <f>VLOOKUP(A88,'Food Masterdata'!A:C,3,0)</f>
        <v>grams</v>
      </c>
      <c r="D88" s="7">
        <v>46068</v>
      </c>
      <c r="E88" s="7" t="s">
        <v>63</v>
      </c>
    </row>
    <row r="89" spans="1:5" x14ac:dyDescent="0.35">
      <c r="A89" t="s">
        <v>71</v>
      </c>
      <c r="B89">
        <v>15</v>
      </c>
      <c r="C89" t="str">
        <f>VLOOKUP(A89,'Food Masterdata'!A:C,3,0)</f>
        <v>grams</v>
      </c>
      <c r="D89" s="7">
        <v>46068</v>
      </c>
      <c r="E89" s="7" t="s">
        <v>63</v>
      </c>
    </row>
    <row r="90" spans="1:5" x14ac:dyDescent="0.35">
      <c r="A90" t="s">
        <v>69</v>
      </c>
      <c r="B90">
        <v>1</v>
      </c>
      <c r="C90" t="str">
        <f>VLOOKUP(A90,'Food Masterdata'!A:C,3,0)</f>
        <v>can</v>
      </c>
      <c r="D90" s="7">
        <v>46069</v>
      </c>
      <c r="E90" s="7" t="s">
        <v>54</v>
      </c>
    </row>
    <row r="91" spans="1:5" x14ac:dyDescent="0.35">
      <c r="A91" t="s">
        <v>57</v>
      </c>
      <c r="B91">
        <v>56</v>
      </c>
      <c r="C91" t="str">
        <f>VLOOKUP(A91,'Food Masterdata'!A:C,3,0)</f>
        <v>grams</v>
      </c>
      <c r="D91" s="7">
        <v>46069</v>
      </c>
      <c r="E91" s="7" t="s">
        <v>54</v>
      </c>
    </row>
    <row r="92" spans="1:5" x14ac:dyDescent="0.35">
      <c r="A92" t="s">
        <v>79</v>
      </c>
      <c r="B92">
        <v>3</v>
      </c>
      <c r="C92" t="str">
        <f>VLOOKUP(A92,'Food Masterdata'!A:C,3,0)</f>
        <v>grams</v>
      </c>
      <c r="D92" s="7">
        <v>46069</v>
      </c>
      <c r="E92" s="7" t="s">
        <v>54</v>
      </c>
    </row>
    <row r="93" spans="1:5" x14ac:dyDescent="0.35">
      <c r="A93" t="s">
        <v>45</v>
      </c>
      <c r="B93">
        <v>53</v>
      </c>
      <c r="C93" t="str">
        <f>VLOOKUP(A93,'Food Masterdata'!A:C,3,0)</f>
        <v>grams</v>
      </c>
      <c r="D93" s="7">
        <v>46069</v>
      </c>
      <c r="E93" s="7" t="s">
        <v>54</v>
      </c>
    </row>
    <row r="94" spans="1:5" x14ac:dyDescent="0.35">
      <c r="A94" t="s">
        <v>99</v>
      </c>
      <c r="B94">
        <v>8</v>
      </c>
      <c r="C94" t="str">
        <f>VLOOKUP(A94,'Food Masterdata'!A:C,3,0)</f>
        <v>grams</v>
      </c>
      <c r="D94" s="7">
        <v>46069</v>
      </c>
      <c r="E94" s="7" t="s">
        <v>54</v>
      </c>
    </row>
    <row r="95" spans="1:5" x14ac:dyDescent="0.35">
      <c r="A95" t="s">
        <v>58</v>
      </c>
      <c r="B95">
        <v>453</v>
      </c>
      <c r="C95" t="str">
        <f>VLOOKUP(A95,'Food Masterdata'!A:C,3,0)</f>
        <v>grams</v>
      </c>
      <c r="D95" s="7">
        <v>46069</v>
      </c>
      <c r="E95" s="7" t="s">
        <v>61</v>
      </c>
    </row>
    <row r="96" spans="1:5" x14ac:dyDescent="0.35">
      <c r="A96" t="s">
        <v>76</v>
      </c>
      <c r="B96">
        <v>300</v>
      </c>
      <c r="C96" t="str">
        <f>VLOOKUP(A96,'Food Masterdata'!A:C,3,0)</f>
        <v>grams</v>
      </c>
      <c r="D96" s="7">
        <v>46069</v>
      </c>
      <c r="E96" s="7" t="s">
        <v>61</v>
      </c>
    </row>
    <row r="97" spans="1:5" x14ac:dyDescent="0.35">
      <c r="A97" t="s">
        <v>100</v>
      </c>
      <c r="B97">
        <v>195</v>
      </c>
      <c r="C97" t="str">
        <f>VLOOKUP(A97,'Food Masterdata'!A:C,3,0)</f>
        <v>grams</v>
      </c>
      <c r="D97" s="7">
        <v>46069</v>
      </c>
      <c r="E97" s="7" t="s">
        <v>61</v>
      </c>
    </row>
    <row r="98" spans="1:5" x14ac:dyDescent="0.35">
      <c r="A98" t="s">
        <v>55</v>
      </c>
      <c r="B98">
        <v>70</v>
      </c>
      <c r="C98" t="str">
        <f>VLOOKUP(A98,'Food Masterdata'!A:C,3,0)</f>
        <v>grams</v>
      </c>
      <c r="D98" s="7">
        <v>46069</v>
      </c>
      <c r="E98" s="7" t="s">
        <v>63</v>
      </c>
    </row>
    <row r="99" spans="1:5" x14ac:dyDescent="0.35">
      <c r="A99" t="s">
        <v>72</v>
      </c>
      <c r="B99">
        <v>100</v>
      </c>
      <c r="C99" t="str">
        <f>VLOOKUP(A99,'Food Masterdata'!A:C,3,0)</f>
        <v>grams</v>
      </c>
      <c r="D99" s="7">
        <v>46069</v>
      </c>
      <c r="E99" s="7" t="s">
        <v>63</v>
      </c>
    </row>
    <row r="100" spans="1:5" x14ac:dyDescent="0.35">
      <c r="A100" t="s">
        <v>101</v>
      </c>
      <c r="B100">
        <v>201</v>
      </c>
      <c r="C100" t="str">
        <f>VLOOKUP(A100,'Food Masterdata'!A:C,3,0)</f>
        <v>grams</v>
      </c>
      <c r="D100" s="7">
        <v>46069</v>
      </c>
      <c r="E100" s="7" t="s">
        <v>63</v>
      </c>
    </row>
    <row r="101" spans="1:5" x14ac:dyDescent="0.35">
      <c r="A101" t="s">
        <v>69</v>
      </c>
      <c r="B101">
        <v>1</v>
      </c>
      <c r="C101" t="str">
        <f>VLOOKUP(A101,'Food Masterdata'!A:C,3,0)</f>
        <v>can</v>
      </c>
      <c r="D101" s="7">
        <v>46069</v>
      </c>
      <c r="E101" s="7" t="s">
        <v>63</v>
      </c>
    </row>
    <row r="102" spans="1:5" x14ac:dyDescent="0.35">
      <c r="A102" t="s">
        <v>57</v>
      </c>
      <c r="B102">
        <v>51</v>
      </c>
      <c r="C102" t="str">
        <f>VLOOKUP(A102,'Food Masterdata'!A:C,3,0)</f>
        <v>grams</v>
      </c>
      <c r="D102" s="7">
        <v>46070</v>
      </c>
      <c r="E102" s="7" t="s">
        <v>54</v>
      </c>
    </row>
    <row r="103" spans="1:5" x14ac:dyDescent="0.35">
      <c r="A103" t="s">
        <v>79</v>
      </c>
      <c r="B103">
        <v>3</v>
      </c>
      <c r="C103" t="str">
        <f>VLOOKUP(A103,'Food Masterdata'!A:C,3,0)</f>
        <v>grams</v>
      </c>
      <c r="D103" s="7">
        <v>46070</v>
      </c>
      <c r="E103" s="7" t="s">
        <v>54</v>
      </c>
    </row>
    <row r="104" spans="1:5" x14ac:dyDescent="0.35">
      <c r="A104" t="s">
        <v>99</v>
      </c>
      <c r="B104">
        <v>7</v>
      </c>
      <c r="C104" t="str">
        <f>VLOOKUP(A104,'Food Masterdata'!A:C,3,0)</f>
        <v>grams</v>
      </c>
      <c r="D104" s="7">
        <v>46070</v>
      </c>
      <c r="E104" s="7" t="s">
        <v>54</v>
      </c>
    </row>
    <row r="105" spans="1:5" x14ac:dyDescent="0.35">
      <c r="A105" t="s">
        <v>100</v>
      </c>
      <c r="B105">
        <v>169</v>
      </c>
      <c r="C105" t="str">
        <f>VLOOKUP(A105,'Food Masterdata'!A:C,3,0)</f>
        <v>grams</v>
      </c>
      <c r="D105" s="7">
        <v>46070</v>
      </c>
      <c r="E105" s="7" t="s">
        <v>54</v>
      </c>
    </row>
    <row r="106" spans="1:5" x14ac:dyDescent="0.35">
      <c r="A106" t="s">
        <v>60</v>
      </c>
      <c r="B106">
        <v>60</v>
      </c>
      <c r="C106" t="str">
        <f>VLOOKUP(A106,'Food Masterdata'!A:C,3,0)</f>
        <v>grams</v>
      </c>
      <c r="D106" s="7">
        <v>46070</v>
      </c>
      <c r="E106" s="7" t="s">
        <v>54</v>
      </c>
    </row>
    <row r="107" spans="1:5" x14ac:dyDescent="0.35">
      <c r="A107" t="s">
        <v>69</v>
      </c>
      <c r="B107">
        <v>1</v>
      </c>
      <c r="C107" t="str">
        <f>VLOOKUP(A107,'Food Masterdata'!A:C,3,0)</f>
        <v>can</v>
      </c>
      <c r="D107" s="7">
        <v>46070</v>
      </c>
      <c r="E107" s="7" t="s">
        <v>54</v>
      </c>
    </row>
    <row r="108" spans="1:5" x14ac:dyDescent="0.35">
      <c r="A108" t="s">
        <v>58</v>
      </c>
      <c r="B108">
        <v>410</v>
      </c>
      <c r="C108" t="str">
        <f>VLOOKUP(A108,'Food Masterdata'!A:C,3,0)</f>
        <v>grams</v>
      </c>
      <c r="D108" s="7">
        <v>46070</v>
      </c>
      <c r="E108" s="7" t="s">
        <v>61</v>
      </c>
    </row>
    <row r="109" spans="1:5" x14ac:dyDescent="0.35">
      <c r="A109" t="s">
        <v>69</v>
      </c>
      <c r="B109">
        <v>1</v>
      </c>
      <c r="C109" t="str">
        <f>VLOOKUP(A109,'Food Masterdata'!A:C,3,0)</f>
        <v>can</v>
      </c>
      <c r="D109" s="7">
        <v>46071</v>
      </c>
      <c r="E109" s="7" t="s">
        <v>54</v>
      </c>
    </row>
    <row r="110" spans="1:5" x14ac:dyDescent="0.35">
      <c r="A110" t="s">
        <v>115</v>
      </c>
      <c r="B110">
        <v>201</v>
      </c>
      <c r="C110" t="str">
        <f>VLOOKUP(A110,'Food Masterdata'!A:C,3,0)</f>
        <v>grams</v>
      </c>
      <c r="D110" s="7">
        <v>46071</v>
      </c>
      <c r="E110" s="7" t="s">
        <v>54</v>
      </c>
    </row>
    <row r="111" spans="1:5" x14ac:dyDescent="0.35">
      <c r="A111" t="s">
        <v>56</v>
      </c>
      <c r="B111">
        <v>100</v>
      </c>
      <c r="C111" t="str">
        <f>VLOOKUP(A111,'Food Masterdata'!A:C,3,0)</f>
        <v>grams</v>
      </c>
      <c r="D111" s="7">
        <v>46071</v>
      </c>
      <c r="E111" s="7" t="s">
        <v>54</v>
      </c>
    </row>
    <row r="112" spans="1:5" x14ac:dyDescent="0.35">
      <c r="A112" t="s">
        <v>100</v>
      </c>
      <c r="B112">
        <v>132</v>
      </c>
      <c r="C112" t="str">
        <f>VLOOKUP(A112,'Food Masterdata'!A:C,3,0)</f>
        <v>grams</v>
      </c>
      <c r="D112" s="7">
        <v>46071</v>
      </c>
      <c r="E112" s="7" t="s">
        <v>54</v>
      </c>
    </row>
    <row r="113" spans="1:5" x14ac:dyDescent="0.35">
      <c r="A113" t="s">
        <v>117</v>
      </c>
      <c r="B113">
        <v>50</v>
      </c>
      <c r="C113" t="str">
        <f>VLOOKUP(A113,'Food Masterdata'!A:C,3,0)</f>
        <v>grams</v>
      </c>
      <c r="D113" s="7">
        <v>46071</v>
      </c>
      <c r="E113" s="7" t="s">
        <v>61</v>
      </c>
    </row>
    <row r="114" spans="1:5" x14ac:dyDescent="0.35">
      <c r="A114" t="s">
        <v>114</v>
      </c>
      <c r="B114">
        <v>130</v>
      </c>
      <c r="C114" t="str">
        <f>VLOOKUP(A114,'Food Masterdata'!A:C,3,0)</f>
        <v>grams</v>
      </c>
      <c r="D114" s="7">
        <v>46071</v>
      </c>
      <c r="E114" s="7" t="s">
        <v>61</v>
      </c>
    </row>
    <row r="115" spans="1:5" x14ac:dyDescent="0.35">
      <c r="A115" t="s">
        <v>46</v>
      </c>
      <c r="B115">
        <v>5</v>
      </c>
      <c r="C115" t="str">
        <f>VLOOKUP(A115,'Food Masterdata'!A:C,3,0)</f>
        <v>egg</v>
      </c>
      <c r="D115" s="7">
        <v>46071</v>
      </c>
      <c r="E115" s="7" t="s">
        <v>63</v>
      </c>
    </row>
    <row r="116" spans="1:5" x14ac:dyDescent="0.35">
      <c r="A116" t="s">
        <v>69</v>
      </c>
      <c r="B116">
        <v>1</v>
      </c>
      <c r="C116" t="str">
        <f>VLOOKUP(A116,'Food Masterdata'!A:C,3,0)</f>
        <v>can</v>
      </c>
      <c r="D116" s="7">
        <v>46071</v>
      </c>
      <c r="E116" s="7" t="s">
        <v>74</v>
      </c>
    </row>
    <row r="117" spans="1:5" x14ac:dyDescent="0.35">
      <c r="A117" t="s">
        <v>25</v>
      </c>
      <c r="B117">
        <v>225</v>
      </c>
      <c r="C117" t="str">
        <f>VLOOKUP(A117,'Food Masterdata'!A:C,3,0)</f>
        <v>grams</v>
      </c>
      <c r="D117" s="7">
        <v>46071</v>
      </c>
      <c r="E117" s="7" t="s">
        <v>74</v>
      </c>
    </row>
    <row r="118" spans="1:5" x14ac:dyDescent="0.35">
      <c r="A118" t="s">
        <v>118</v>
      </c>
      <c r="B118">
        <v>50</v>
      </c>
      <c r="C118" t="str">
        <f>VLOOKUP(A118,'Food Masterdata'!A:C,3,0)</f>
        <v>grams</v>
      </c>
      <c r="D118" s="7">
        <v>46071</v>
      </c>
      <c r="E118" s="7" t="s">
        <v>74</v>
      </c>
    </row>
    <row r="119" spans="1:5" x14ac:dyDescent="0.35">
      <c r="A119" t="s">
        <v>62</v>
      </c>
      <c r="B119">
        <v>6</v>
      </c>
      <c r="C119" t="str">
        <f>VLOOKUP(A119,'Food Masterdata'!A:C,3,0)</f>
        <v>grams</v>
      </c>
      <c r="D119" s="7">
        <v>46071</v>
      </c>
      <c r="E119" s="7" t="s">
        <v>74</v>
      </c>
    </row>
    <row r="120" spans="1:5" x14ac:dyDescent="0.35">
      <c r="A120" t="s">
        <v>81</v>
      </c>
      <c r="B120">
        <v>50</v>
      </c>
      <c r="C120" t="str">
        <f>VLOOKUP(A120,'Food Masterdata'!A:C,3,0)</f>
        <v>grams</v>
      </c>
      <c r="D120" s="7">
        <v>46071</v>
      </c>
      <c r="E120" s="7" t="s">
        <v>74</v>
      </c>
    </row>
    <row r="121" spans="1:5" x14ac:dyDescent="0.35">
      <c r="A121" t="s">
        <v>69</v>
      </c>
      <c r="B121">
        <v>1</v>
      </c>
      <c r="C121" t="str">
        <f>VLOOKUP(A121,'Food Masterdata'!A:C,3,0)</f>
        <v>can</v>
      </c>
      <c r="D121" s="7">
        <v>46072</v>
      </c>
      <c r="E121" s="7" t="s">
        <v>54</v>
      </c>
    </row>
    <row r="122" spans="1:5" x14ac:dyDescent="0.35">
      <c r="A122" t="s">
        <v>57</v>
      </c>
      <c r="B122">
        <v>41</v>
      </c>
      <c r="C122" t="str">
        <f>VLOOKUP(A122,'Food Masterdata'!A:C,3,0)</f>
        <v>grams</v>
      </c>
      <c r="D122" s="7">
        <v>46072</v>
      </c>
      <c r="E122" s="7" t="s">
        <v>54</v>
      </c>
    </row>
    <row r="123" spans="1:5" x14ac:dyDescent="0.35">
      <c r="A123" t="s">
        <v>79</v>
      </c>
      <c r="B123">
        <v>2</v>
      </c>
      <c r="C123" t="str">
        <f>VLOOKUP(A123,'Food Masterdata'!A:C,3,0)</f>
        <v>grams</v>
      </c>
      <c r="D123" s="7">
        <v>46072</v>
      </c>
      <c r="E123" s="7" t="s">
        <v>54</v>
      </c>
    </row>
    <row r="124" spans="1:5" x14ac:dyDescent="0.35">
      <c r="A124" t="s">
        <v>99</v>
      </c>
      <c r="B124">
        <v>7</v>
      </c>
      <c r="C124" t="str">
        <f>VLOOKUP(A124,'Food Masterdata'!A:C,3,0)</f>
        <v>grams</v>
      </c>
      <c r="D124" s="7">
        <v>46072</v>
      </c>
      <c r="E124" s="7" t="s">
        <v>54</v>
      </c>
    </row>
    <row r="125" spans="1:5" x14ac:dyDescent="0.35">
      <c r="A125" t="s">
        <v>46</v>
      </c>
      <c r="B125">
        <v>5</v>
      </c>
      <c r="C125" t="str">
        <f>VLOOKUP(A125,'Food Masterdata'!A:C,3,0)</f>
        <v>egg</v>
      </c>
      <c r="D125" s="7">
        <v>46072</v>
      </c>
      <c r="E125" s="7" t="s">
        <v>61</v>
      </c>
    </row>
    <row r="126" spans="1:5" x14ac:dyDescent="0.35">
      <c r="A126" t="s">
        <v>119</v>
      </c>
      <c r="B126">
        <v>51</v>
      </c>
      <c r="C126" t="str">
        <f>VLOOKUP(A126,'Food Masterdata'!A:C,3,0)</f>
        <v>grams</v>
      </c>
      <c r="D126" s="7">
        <v>46072</v>
      </c>
      <c r="E126" s="7" t="s">
        <v>61</v>
      </c>
    </row>
    <row r="127" spans="1:5" x14ac:dyDescent="0.35">
      <c r="A127" t="s">
        <v>25</v>
      </c>
      <c r="B127">
        <v>225</v>
      </c>
      <c r="C127" t="str">
        <f>VLOOKUP(A127,'Food Masterdata'!A:C,3,0)</f>
        <v>grams</v>
      </c>
      <c r="D127" s="7">
        <v>46072</v>
      </c>
      <c r="E127" s="7" t="s">
        <v>63</v>
      </c>
    </row>
    <row r="128" spans="1:5" x14ac:dyDescent="0.35">
      <c r="A128" t="s">
        <v>118</v>
      </c>
      <c r="B128">
        <v>50</v>
      </c>
      <c r="C128" t="str">
        <f>VLOOKUP(A128,'Food Masterdata'!A:C,3,0)</f>
        <v>grams</v>
      </c>
      <c r="D128" s="7">
        <v>46072</v>
      </c>
      <c r="E128" s="7" t="s">
        <v>63</v>
      </c>
    </row>
    <row r="129" spans="1:5" x14ac:dyDescent="0.35">
      <c r="A129" t="s">
        <v>69</v>
      </c>
      <c r="B129">
        <v>1</v>
      </c>
      <c r="C129" t="str">
        <f>VLOOKUP(A129,'Food Masterdata'!A:C,3,0)</f>
        <v>can</v>
      </c>
      <c r="D129" s="7">
        <v>46073</v>
      </c>
      <c r="E129" s="7" t="s">
        <v>54</v>
      </c>
    </row>
    <row r="130" spans="1:5" x14ac:dyDescent="0.35">
      <c r="A130" t="s">
        <v>57</v>
      </c>
      <c r="B130">
        <v>41</v>
      </c>
      <c r="C130" t="str">
        <f>VLOOKUP(A130,'Food Masterdata'!A:C,3,0)</f>
        <v>grams</v>
      </c>
      <c r="D130" s="7">
        <v>46073</v>
      </c>
      <c r="E130" s="7" t="s">
        <v>54</v>
      </c>
    </row>
    <row r="131" spans="1:5" x14ac:dyDescent="0.35">
      <c r="A131" t="s">
        <v>79</v>
      </c>
      <c r="B131">
        <v>1</v>
      </c>
      <c r="C131" t="str">
        <f>VLOOKUP(A131,'Food Masterdata'!A:C,3,0)</f>
        <v>grams</v>
      </c>
      <c r="D131" s="7">
        <v>46073</v>
      </c>
      <c r="E131" s="7" t="s">
        <v>54</v>
      </c>
    </row>
    <row r="132" spans="1:5" x14ac:dyDescent="0.35">
      <c r="A132" t="s">
        <v>99</v>
      </c>
      <c r="B132">
        <v>7</v>
      </c>
      <c r="C132" t="str">
        <f>VLOOKUP(A132,'Food Masterdata'!A:C,3,0)</f>
        <v>grams</v>
      </c>
      <c r="D132" s="7">
        <v>46073</v>
      </c>
      <c r="E132" s="7" t="s">
        <v>54</v>
      </c>
    </row>
    <row r="133" spans="1:5" x14ac:dyDescent="0.35">
      <c r="A133" t="s">
        <v>100</v>
      </c>
      <c r="B133">
        <v>133</v>
      </c>
      <c r="C133" t="str">
        <f>VLOOKUP(A133,'Food Masterdata'!A:C,3,0)</f>
        <v>grams</v>
      </c>
      <c r="D133" s="7">
        <v>46073</v>
      </c>
      <c r="E133" s="7" t="s">
        <v>54</v>
      </c>
    </row>
    <row r="134" spans="1:5" x14ac:dyDescent="0.35">
      <c r="A134" t="s">
        <v>58</v>
      </c>
      <c r="B134">
        <v>524</v>
      </c>
      <c r="C134" t="str">
        <f>VLOOKUP(A134,'Food Masterdata'!A:C,3,0)</f>
        <v>grams</v>
      </c>
      <c r="D134" s="7">
        <v>46073</v>
      </c>
      <c r="E134" s="7" t="s">
        <v>61</v>
      </c>
    </row>
    <row r="135" spans="1:5" x14ac:dyDescent="0.35">
      <c r="A135" t="s">
        <v>62</v>
      </c>
      <c r="B135">
        <v>6</v>
      </c>
      <c r="C135" t="str">
        <f>VLOOKUP(A135,'Food Masterdata'!A:C,3,0)</f>
        <v>grams</v>
      </c>
      <c r="D135" s="7">
        <v>46073</v>
      </c>
      <c r="E135" s="7" t="s">
        <v>63</v>
      </c>
    </row>
    <row r="136" spans="1:5" x14ac:dyDescent="0.35">
      <c r="A136" t="s">
        <v>60</v>
      </c>
      <c r="B136">
        <v>51</v>
      </c>
      <c r="C136" t="str">
        <f>VLOOKUP(A136,'Food Masterdata'!A:C,3,0)</f>
        <v>grams</v>
      </c>
      <c r="D136" s="7">
        <v>46073</v>
      </c>
      <c r="E136" s="7" t="s">
        <v>63</v>
      </c>
    </row>
    <row r="137" spans="1:5" x14ac:dyDescent="0.35">
      <c r="A137" t="s">
        <v>81</v>
      </c>
      <c r="B137">
        <v>174</v>
      </c>
      <c r="C137" t="str">
        <f>VLOOKUP(A137,'Food Masterdata'!A:C,3,0)</f>
        <v>grams</v>
      </c>
      <c r="D137" s="7">
        <v>46073</v>
      </c>
      <c r="E137" s="7" t="s">
        <v>63</v>
      </c>
    </row>
    <row r="138" spans="1:5" x14ac:dyDescent="0.35">
      <c r="A138" t="s">
        <v>69</v>
      </c>
      <c r="B138">
        <v>1</v>
      </c>
      <c r="C138" t="str">
        <f>VLOOKUP(A138,'Food Masterdata'!A:C,3,0)</f>
        <v>can</v>
      </c>
      <c r="D138" s="7">
        <v>46073</v>
      </c>
      <c r="E138" s="7" t="s">
        <v>63</v>
      </c>
    </row>
    <row r="139" spans="1:5" x14ac:dyDescent="0.35">
      <c r="A139" t="s">
        <v>25</v>
      </c>
      <c r="B139">
        <v>225</v>
      </c>
      <c r="C139" t="str">
        <f>VLOOKUP(A139,'Food Masterdata'!A:C,3,0)</f>
        <v>grams</v>
      </c>
      <c r="D139" s="7">
        <v>46074</v>
      </c>
      <c r="E139" s="7" t="s">
        <v>54</v>
      </c>
    </row>
    <row r="140" spans="1:5" x14ac:dyDescent="0.35">
      <c r="A140" t="s">
        <v>43</v>
      </c>
      <c r="B140">
        <v>170</v>
      </c>
      <c r="C140" t="str">
        <f>VLOOKUP(A140,'Food Masterdata'!A:C,3,0)</f>
        <v>grams</v>
      </c>
      <c r="D140" s="7">
        <v>46074</v>
      </c>
      <c r="E140" s="7" t="s">
        <v>54</v>
      </c>
    </row>
    <row r="141" spans="1:5" x14ac:dyDescent="0.35">
      <c r="A141" t="s">
        <v>71</v>
      </c>
      <c r="B141">
        <v>10</v>
      </c>
      <c r="C141" t="str">
        <f>VLOOKUP(A141,'Food Masterdata'!A:C,3,0)</f>
        <v>grams</v>
      </c>
      <c r="D141" s="7">
        <v>46074</v>
      </c>
      <c r="E141" s="7" t="s">
        <v>54</v>
      </c>
    </row>
    <row r="142" spans="1:5" x14ac:dyDescent="0.35">
      <c r="A142" t="s">
        <v>69</v>
      </c>
      <c r="B142">
        <v>1</v>
      </c>
      <c r="C142" t="str">
        <f>VLOOKUP(A142,'Food Masterdata'!A:C,3,0)</f>
        <v>can</v>
      </c>
      <c r="D142" s="7">
        <v>46074</v>
      </c>
      <c r="E142" s="7" t="s">
        <v>54</v>
      </c>
    </row>
    <row r="143" spans="1:5" x14ac:dyDescent="0.35">
      <c r="A143" t="s">
        <v>64</v>
      </c>
      <c r="B143">
        <v>40</v>
      </c>
      <c r="C143" t="str">
        <f>VLOOKUP(A143,'Food Masterdata'!A:C,3,0)</f>
        <v>grams</v>
      </c>
      <c r="D143" s="7">
        <v>46074</v>
      </c>
      <c r="E143" s="7" t="s">
        <v>61</v>
      </c>
    </row>
    <row r="144" spans="1:5" x14ac:dyDescent="0.35">
      <c r="A144" t="s">
        <v>93</v>
      </c>
      <c r="B144">
        <v>95</v>
      </c>
      <c r="C144" t="str">
        <f>VLOOKUP(A144,'Food Masterdata'!A:C,3,0)</f>
        <v>grams</v>
      </c>
      <c r="D144" s="7">
        <v>46074</v>
      </c>
      <c r="E144" s="7" t="s">
        <v>61</v>
      </c>
    </row>
    <row r="145" spans="1:5" x14ac:dyDescent="0.35">
      <c r="A145" t="s">
        <v>94</v>
      </c>
      <c r="B145">
        <v>250</v>
      </c>
      <c r="C145" t="str">
        <f>VLOOKUP(A145,'Food Masterdata'!A:C,3,0)</f>
        <v>grams</v>
      </c>
      <c r="D145" s="7">
        <v>46074</v>
      </c>
      <c r="E145" s="7" t="s">
        <v>61</v>
      </c>
    </row>
    <row r="146" spans="1:5" x14ac:dyDescent="0.35">
      <c r="A146" t="s">
        <v>91</v>
      </c>
      <c r="B146">
        <v>110</v>
      </c>
      <c r="C146" t="str">
        <f>VLOOKUP(A146,'Food Masterdata'!A:C,3,0)</f>
        <v>grams</v>
      </c>
      <c r="D146" s="7">
        <v>46074</v>
      </c>
      <c r="E146" s="7" t="s">
        <v>61</v>
      </c>
    </row>
    <row r="147" spans="1:5" x14ac:dyDescent="0.35">
      <c r="A147" t="s">
        <v>98</v>
      </c>
      <c r="B147">
        <v>1</v>
      </c>
      <c r="C147" t="str">
        <f>VLOOKUP(A147,'Food Masterdata'!A:C,3,0)</f>
        <v>grams</v>
      </c>
      <c r="D147" s="7">
        <v>46074</v>
      </c>
      <c r="E147" s="7" t="s">
        <v>61</v>
      </c>
    </row>
    <row r="148" spans="1:5" x14ac:dyDescent="0.35">
      <c r="A148" t="s">
        <v>97</v>
      </c>
      <c r="B148">
        <v>1</v>
      </c>
      <c r="C148" t="str">
        <f>VLOOKUP(A148,'Food Masterdata'!A:C,3,0)</f>
        <v>grams</v>
      </c>
      <c r="D148" s="7">
        <v>46074</v>
      </c>
      <c r="E148" s="7" t="s">
        <v>61</v>
      </c>
    </row>
    <row r="149" spans="1:5" x14ac:dyDescent="0.35">
      <c r="A149" t="s">
        <v>95</v>
      </c>
      <c r="B149">
        <v>1</v>
      </c>
      <c r="C149" t="str">
        <f>VLOOKUP(A149,'Food Masterdata'!A:C,3,0)</f>
        <v>grams</v>
      </c>
      <c r="D149" s="7">
        <v>46074</v>
      </c>
      <c r="E149" s="7" t="s">
        <v>61</v>
      </c>
    </row>
    <row r="150" spans="1:5" x14ac:dyDescent="0.35">
      <c r="A150" t="s">
        <v>100</v>
      </c>
      <c r="B150">
        <v>140</v>
      </c>
      <c r="C150" t="str">
        <f>VLOOKUP(A150,'Food Masterdata'!A:C,3,0)</f>
        <v>grams</v>
      </c>
      <c r="D150" s="7">
        <v>46074</v>
      </c>
      <c r="E150" s="7" t="s">
        <v>63</v>
      </c>
    </row>
    <row r="151" spans="1:5" x14ac:dyDescent="0.35">
      <c r="A151" t="s">
        <v>62</v>
      </c>
      <c r="B151">
        <v>5</v>
      </c>
      <c r="C151" t="str">
        <f>VLOOKUP(A151,'Food Masterdata'!A:C,3,0)</f>
        <v>grams</v>
      </c>
      <c r="D151" s="7">
        <v>46074</v>
      </c>
      <c r="E151" s="7" t="s">
        <v>63</v>
      </c>
    </row>
    <row r="152" spans="1:5" x14ac:dyDescent="0.35">
      <c r="A152" t="s">
        <v>120</v>
      </c>
      <c r="B152">
        <v>92</v>
      </c>
      <c r="C152" t="str">
        <f>VLOOKUP(A152,'Food Masterdata'!A:C,3,0)</f>
        <v>grams</v>
      </c>
      <c r="D152" s="7">
        <v>46074</v>
      </c>
      <c r="E152" s="7" t="s">
        <v>63</v>
      </c>
    </row>
    <row r="153" spans="1:5" x14ac:dyDescent="0.35">
      <c r="A153" t="s">
        <v>117</v>
      </c>
      <c r="B153">
        <v>54</v>
      </c>
      <c r="C153" t="str">
        <f>VLOOKUP(A153,'Food Masterdata'!A:C,3,0)</f>
        <v>grams</v>
      </c>
      <c r="D153" s="7">
        <v>46074</v>
      </c>
      <c r="E153" s="7" t="s">
        <v>63</v>
      </c>
    </row>
    <row r="154" spans="1:5" x14ac:dyDescent="0.35">
      <c r="A154" t="s">
        <v>25</v>
      </c>
      <c r="B154">
        <v>225</v>
      </c>
      <c r="C154" t="str">
        <f>VLOOKUP(A154,'Food Masterdata'!A:C,3,0)</f>
        <v>grams</v>
      </c>
      <c r="D154" s="7">
        <v>46075</v>
      </c>
      <c r="E154" s="7" t="s">
        <v>54</v>
      </c>
    </row>
    <row r="155" spans="1:5" x14ac:dyDescent="0.35">
      <c r="A155" t="s">
        <v>43</v>
      </c>
      <c r="B155">
        <v>170</v>
      </c>
      <c r="C155" t="str">
        <f>VLOOKUP(A155,'Food Masterdata'!A:C,3,0)</f>
        <v>grams</v>
      </c>
      <c r="D155" s="7">
        <v>46075</v>
      </c>
      <c r="E155" s="7" t="s">
        <v>54</v>
      </c>
    </row>
    <row r="156" spans="1:5" x14ac:dyDescent="0.35">
      <c r="A156" t="s">
        <v>71</v>
      </c>
      <c r="B156">
        <v>10</v>
      </c>
      <c r="C156" t="str">
        <f>VLOOKUP(A156,'Food Masterdata'!A:C,3,0)</f>
        <v>grams</v>
      </c>
      <c r="D156" s="7">
        <v>46075</v>
      </c>
      <c r="E156" s="7" t="s">
        <v>54</v>
      </c>
    </row>
    <row r="157" spans="1:5" x14ac:dyDescent="0.35">
      <c r="A157" t="s">
        <v>69</v>
      </c>
      <c r="B157">
        <v>1</v>
      </c>
      <c r="C157" t="str">
        <f>VLOOKUP(A157,'Food Masterdata'!A:C,3,0)</f>
        <v>can</v>
      </c>
      <c r="D157" s="7">
        <v>46075</v>
      </c>
      <c r="E157" s="7" t="s">
        <v>54</v>
      </c>
    </row>
    <row r="158" spans="1:5" x14ac:dyDescent="0.35">
      <c r="A158" t="s">
        <v>64</v>
      </c>
      <c r="B158">
        <v>40</v>
      </c>
      <c r="C158" t="str">
        <f>VLOOKUP(A158,'Food Masterdata'!A:C,3,0)</f>
        <v>grams</v>
      </c>
      <c r="D158" s="7">
        <v>46075</v>
      </c>
      <c r="E158" s="7" t="s">
        <v>61</v>
      </c>
    </row>
    <row r="159" spans="1:5" x14ac:dyDescent="0.35">
      <c r="A159" t="s">
        <v>93</v>
      </c>
      <c r="B159">
        <v>95</v>
      </c>
      <c r="C159" t="str">
        <f>VLOOKUP(A159,'Food Masterdata'!A:C,3,0)</f>
        <v>grams</v>
      </c>
      <c r="D159" s="7">
        <v>46075</v>
      </c>
      <c r="E159" s="7" t="s">
        <v>61</v>
      </c>
    </row>
    <row r="160" spans="1:5" x14ac:dyDescent="0.35">
      <c r="A160" t="s">
        <v>94</v>
      </c>
      <c r="B160">
        <v>250</v>
      </c>
      <c r="C160" t="str">
        <f>VLOOKUP(A160,'Food Masterdata'!A:C,3,0)</f>
        <v>grams</v>
      </c>
      <c r="D160" s="7">
        <v>46075</v>
      </c>
      <c r="E160" s="7" t="s">
        <v>61</v>
      </c>
    </row>
    <row r="161" spans="1:5" x14ac:dyDescent="0.35">
      <c r="A161" t="s">
        <v>91</v>
      </c>
      <c r="B161">
        <v>110</v>
      </c>
      <c r="C161" t="str">
        <f>VLOOKUP(A161,'Food Masterdata'!A:C,3,0)</f>
        <v>grams</v>
      </c>
      <c r="D161" s="7">
        <v>46075</v>
      </c>
      <c r="E161" s="7" t="s">
        <v>61</v>
      </c>
    </row>
    <row r="162" spans="1:5" x14ac:dyDescent="0.35">
      <c r="A162" t="s">
        <v>98</v>
      </c>
      <c r="B162">
        <v>1</v>
      </c>
      <c r="C162" t="str">
        <f>VLOOKUP(A162,'Food Masterdata'!A:C,3,0)</f>
        <v>grams</v>
      </c>
      <c r="D162" s="7">
        <v>46075</v>
      </c>
      <c r="E162" s="7" t="s">
        <v>61</v>
      </c>
    </row>
    <row r="163" spans="1:5" x14ac:dyDescent="0.35">
      <c r="A163" t="s">
        <v>97</v>
      </c>
      <c r="B163">
        <v>1</v>
      </c>
      <c r="C163" t="str">
        <f>VLOOKUP(A163,'Food Masterdata'!A:C,3,0)</f>
        <v>grams</v>
      </c>
      <c r="D163" s="7">
        <v>46075</v>
      </c>
      <c r="E163" s="7" t="s">
        <v>61</v>
      </c>
    </row>
    <row r="164" spans="1:5" x14ac:dyDescent="0.35">
      <c r="A164" t="s">
        <v>95</v>
      </c>
      <c r="B164">
        <v>1</v>
      </c>
      <c r="C164" t="str">
        <f>VLOOKUP(A164,'Food Masterdata'!A:C,3,0)</f>
        <v>grams</v>
      </c>
      <c r="D164" s="7">
        <v>46075</v>
      </c>
      <c r="E164" s="7" t="s">
        <v>61</v>
      </c>
    </row>
    <row r="165" spans="1:5" x14ac:dyDescent="0.35">
      <c r="A165" t="s">
        <v>62</v>
      </c>
      <c r="B165">
        <v>7</v>
      </c>
      <c r="C165" t="str">
        <f>VLOOKUP(A165,'Food Masterdata'!A:C,3,0)</f>
        <v>grams</v>
      </c>
      <c r="D165" s="7">
        <v>46075</v>
      </c>
      <c r="E165" s="7" t="s">
        <v>63</v>
      </c>
    </row>
    <row r="166" spans="1:5" x14ac:dyDescent="0.35">
      <c r="A166" t="s">
        <v>121</v>
      </c>
      <c r="B166">
        <v>48</v>
      </c>
      <c r="C166" t="str">
        <f>VLOOKUP(A166,'Food Masterdata'!A:C,3,0)</f>
        <v>grams</v>
      </c>
      <c r="D166" s="7">
        <v>46075</v>
      </c>
      <c r="E166" s="7" t="s">
        <v>63</v>
      </c>
    </row>
    <row r="167" spans="1:5" x14ac:dyDescent="0.35">
      <c r="A167" t="s">
        <v>45</v>
      </c>
      <c r="B167">
        <v>22</v>
      </c>
      <c r="C167" t="str">
        <f>VLOOKUP(A167,'Food Masterdata'!A:C,3,0)</f>
        <v>grams</v>
      </c>
      <c r="D167" s="7">
        <v>46075</v>
      </c>
      <c r="E167" s="7" t="s">
        <v>63</v>
      </c>
    </row>
    <row r="168" spans="1:5" x14ac:dyDescent="0.35">
      <c r="A168" t="s">
        <v>69</v>
      </c>
      <c r="B168">
        <v>1</v>
      </c>
      <c r="C168" t="str">
        <f>VLOOKUP(A168,'Food Masterdata'!A:C,3,0)</f>
        <v>can</v>
      </c>
      <c r="D168" s="7">
        <v>46076</v>
      </c>
      <c r="E168" s="7" t="s">
        <v>54</v>
      </c>
    </row>
    <row r="169" spans="1:5" x14ac:dyDescent="0.35">
      <c r="A169" t="s">
        <v>57</v>
      </c>
      <c r="B169">
        <v>41</v>
      </c>
      <c r="C169" t="str">
        <f>VLOOKUP(A169,'Food Masterdata'!A:C,3,0)</f>
        <v>grams</v>
      </c>
      <c r="D169" s="7">
        <v>46076</v>
      </c>
      <c r="E169" s="7" t="s">
        <v>54</v>
      </c>
    </row>
    <row r="170" spans="1:5" x14ac:dyDescent="0.35">
      <c r="A170" t="s">
        <v>99</v>
      </c>
      <c r="B170">
        <v>6</v>
      </c>
      <c r="C170" t="str">
        <f>VLOOKUP(A170,'Food Masterdata'!A:C,3,0)</f>
        <v>grams</v>
      </c>
      <c r="D170" s="7">
        <v>46076</v>
      </c>
      <c r="E170" s="7" t="s">
        <v>54</v>
      </c>
    </row>
    <row r="171" spans="1:5" x14ac:dyDescent="0.35">
      <c r="A171" t="s">
        <v>71</v>
      </c>
      <c r="B171">
        <v>18</v>
      </c>
      <c r="C171" t="str">
        <f>VLOOKUP(A171,'Food Masterdata'!A:C,3,0)</f>
        <v>grams</v>
      </c>
      <c r="D171" s="7">
        <v>46076</v>
      </c>
      <c r="E171" s="7" t="s">
        <v>54</v>
      </c>
    </row>
    <row r="172" spans="1:5" x14ac:dyDescent="0.35">
      <c r="A172" t="s">
        <v>58</v>
      </c>
      <c r="B172">
        <v>568</v>
      </c>
      <c r="C172" t="str">
        <f>VLOOKUP(A172,'Food Masterdata'!A:C,3,0)</f>
        <v>grams</v>
      </c>
      <c r="D172" s="7">
        <v>46076</v>
      </c>
      <c r="E172" s="7" t="s">
        <v>61</v>
      </c>
    </row>
    <row r="173" spans="1:5" x14ac:dyDescent="0.35">
      <c r="A173" t="s">
        <v>72</v>
      </c>
      <c r="B173">
        <v>134</v>
      </c>
      <c r="C173" t="str">
        <f>VLOOKUP(A173,'Food Masterdata'!A:C,3,0)</f>
        <v>grams</v>
      </c>
      <c r="D173" s="7">
        <v>46076</v>
      </c>
      <c r="E173" s="7" t="s">
        <v>63</v>
      </c>
    </row>
    <row r="174" spans="1:5" x14ac:dyDescent="0.35">
      <c r="A174" t="s">
        <v>56</v>
      </c>
      <c r="B174">
        <v>100</v>
      </c>
      <c r="C174" t="str">
        <f>VLOOKUP(A174,'Food Masterdata'!A:C,3,0)</f>
        <v>grams</v>
      </c>
      <c r="D174" s="7">
        <v>46076</v>
      </c>
      <c r="E174" s="7" t="s">
        <v>63</v>
      </c>
    </row>
    <row r="175" spans="1:5" x14ac:dyDescent="0.35">
      <c r="A175" t="s">
        <v>62</v>
      </c>
      <c r="B175">
        <v>10</v>
      </c>
      <c r="C175" t="str">
        <f>VLOOKUP(A175,'Food Masterdata'!A:C,3,0)</f>
        <v>grams</v>
      </c>
      <c r="D175" s="7">
        <v>46076</v>
      </c>
      <c r="E175" s="7" t="s">
        <v>63</v>
      </c>
    </row>
    <row r="176" spans="1:5" x14ac:dyDescent="0.35">
      <c r="A176" t="s">
        <v>60</v>
      </c>
      <c r="B176">
        <v>50</v>
      </c>
      <c r="C176" t="str">
        <f>VLOOKUP(A176,'Food Masterdata'!A:C,3,0)</f>
        <v>grams</v>
      </c>
      <c r="D176" s="7">
        <v>46076</v>
      </c>
      <c r="E176" s="7" t="s">
        <v>63</v>
      </c>
    </row>
    <row r="177" spans="1:5" x14ac:dyDescent="0.35">
      <c r="A177" t="s">
        <v>122</v>
      </c>
      <c r="B177">
        <v>420</v>
      </c>
      <c r="C177" t="str">
        <f>VLOOKUP(A177,'Food Masterdata'!A:C,3,0)</f>
        <v>grams</v>
      </c>
      <c r="D177" s="7">
        <v>46076</v>
      </c>
      <c r="E177" s="7" t="s">
        <v>74</v>
      </c>
    </row>
    <row r="178" spans="1:5" x14ac:dyDescent="0.35">
      <c r="A178" t="s">
        <v>69</v>
      </c>
      <c r="B178">
        <v>1</v>
      </c>
      <c r="C178" t="str">
        <f>VLOOKUP(A178,'Food Masterdata'!A:C,3,0)</f>
        <v>can</v>
      </c>
      <c r="D178" s="7">
        <v>46077</v>
      </c>
      <c r="E178" s="7" t="s">
        <v>54</v>
      </c>
    </row>
    <row r="179" spans="1:5" x14ac:dyDescent="0.35">
      <c r="A179" t="s">
        <v>25</v>
      </c>
      <c r="B179">
        <v>225</v>
      </c>
      <c r="C179" t="str">
        <f>VLOOKUP(A179,'Food Masterdata'!A:C,3,0)</f>
        <v>grams</v>
      </c>
      <c r="D179" s="7">
        <v>46077</v>
      </c>
      <c r="E179" s="7" t="s">
        <v>54</v>
      </c>
    </row>
    <row r="180" spans="1:5" x14ac:dyDescent="0.35">
      <c r="A180" t="s">
        <v>43</v>
      </c>
      <c r="B180">
        <v>170</v>
      </c>
      <c r="C180" t="str">
        <f>VLOOKUP(A180,'Food Masterdata'!A:C,3,0)</f>
        <v>grams</v>
      </c>
      <c r="D180" s="7">
        <v>46077</v>
      </c>
      <c r="E180" s="7" t="s">
        <v>54</v>
      </c>
    </row>
    <row r="181" spans="1:5" x14ac:dyDescent="0.35">
      <c r="A181" t="s">
        <v>58</v>
      </c>
      <c r="B181">
        <v>485</v>
      </c>
      <c r="C181" t="str">
        <f>VLOOKUP(A181,'Food Masterdata'!A:C,3,0)</f>
        <v>grams</v>
      </c>
      <c r="D181" s="7">
        <v>46077</v>
      </c>
      <c r="E181" s="7" t="s">
        <v>61</v>
      </c>
    </row>
    <row r="182" spans="1:5" x14ac:dyDescent="0.35">
      <c r="A182" t="s">
        <v>46</v>
      </c>
      <c r="B182">
        <v>5</v>
      </c>
      <c r="C182" t="str">
        <f>VLOOKUP(A182,'Food Masterdata'!A:C,3,0)</f>
        <v>egg</v>
      </c>
      <c r="D182" s="7">
        <v>46077</v>
      </c>
      <c r="E182" s="7" t="s">
        <v>63</v>
      </c>
    </row>
    <row r="183" spans="1:5" x14ac:dyDescent="0.35">
      <c r="A183" t="s">
        <v>60</v>
      </c>
      <c r="B183">
        <v>95</v>
      </c>
      <c r="C183" t="str">
        <f>VLOOKUP(A183,'Food Masterdata'!A:C,3,0)</f>
        <v>grams</v>
      </c>
      <c r="D183" s="7">
        <v>46077</v>
      </c>
      <c r="E183" s="7" t="s">
        <v>63</v>
      </c>
    </row>
    <row r="184" spans="1:5" x14ac:dyDescent="0.35">
      <c r="A184" t="s">
        <v>62</v>
      </c>
      <c r="B184">
        <v>9</v>
      </c>
      <c r="C184" t="str">
        <f>VLOOKUP(A184,'Food Masterdata'!A:C,3,0)</f>
        <v>grams</v>
      </c>
      <c r="D184" s="7">
        <v>46077</v>
      </c>
      <c r="E184" s="7" t="s">
        <v>63</v>
      </c>
    </row>
    <row r="185" spans="1:5" x14ac:dyDescent="0.35">
      <c r="A185" t="s">
        <v>55</v>
      </c>
      <c r="B185">
        <v>97</v>
      </c>
      <c r="C185" t="str">
        <f>VLOOKUP(A185,'Food Masterdata'!A:C,3,0)</f>
        <v>grams</v>
      </c>
      <c r="D185" s="7">
        <v>46077</v>
      </c>
      <c r="E185" s="7" t="s">
        <v>74</v>
      </c>
    </row>
    <row r="186" spans="1:5" x14ac:dyDescent="0.35">
      <c r="A186" t="s">
        <v>65</v>
      </c>
      <c r="B186">
        <v>120</v>
      </c>
      <c r="C186" t="str">
        <f>VLOOKUP(A186,'Food Masterdata'!A:C,3,0)</f>
        <v>grams</v>
      </c>
      <c r="D186" s="7">
        <v>46077</v>
      </c>
      <c r="E186" s="7" t="s">
        <v>74</v>
      </c>
    </row>
    <row r="187" spans="1:5" x14ac:dyDescent="0.35">
      <c r="A187" t="s">
        <v>77</v>
      </c>
      <c r="B187">
        <v>92</v>
      </c>
      <c r="C187" t="str">
        <f>VLOOKUP(A187,'Food Masterdata'!A:C,3,0)</f>
        <v>grams</v>
      </c>
      <c r="D187" s="7">
        <v>46077</v>
      </c>
      <c r="E187" s="7" t="s">
        <v>74</v>
      </c>
    </row>
    <row r="188" spans="1:5" x14ac:dyDescent="0.35">
      <c r="A188" t="s">
        <v>123</v>
      </c>
      <c r="B188">
        <v>472</v>
      </c>
      <c r="C188" t="str">
        <f>VLOOKUP(A188,'Food Masterdata'!A:C,3,0)</f>
        <v>grams</v>
      </c>
      <c r="D188" s="7">
        <v>46077</v>
      </c>
      <c r="E188" s="7" t="s">
        <v>74</v>
      </c>
    </row>
    <row r="189" spans="1:5" x14ac:dyDescent="0.35">
      <c r="A189" t="s">
        <v>69</v>
      </c>
      <c r="B189">
        <v>1</v>
      </c>
      <c r="C189" t="str">
        <f>VLOOKUP(A189,'Food Masterdata'!A:C,3,0)</f>
        <v>can</v>
      </c>
      <c r="D189" s="7">
        <v>46078</v>
      </c>
      <c r="E189" s="7" t="s">
        <v>54</v>
      </c>
    </row>
    <row r="190" spans="1:5" x14ac:dyDescent="0.35">
      <c r="A190" t="s">
        <v>25</v>
      </c>
      <c r="B190">
        <v>225</v>
      </c>
      <c r="C190" t="str">
        <f>VLOOKUP(A190,'Food Masterdata'!A:C,3,0)</f>
        <v>grams</v>
      </c>
      <c r="D190" s="7">
        <v>46078</v>
      </c>
      <c r="E190" s="7" t="s">
        <v>54</v>
      </c>
    </row>
    <row r="191" spans="1:5" x14ac:dyDescent="0.35">
      <c r="A191" t="s">
        <v>43</v>
      </c>
      <c r="B191">
        <v>170</v>
      </c>
      <c r="C191" t="str">
        <f>VLOOKUP(A191,'Food Masterdata'!A:C,3,0)</f>
        <v>grams</v>
      </c>
      <c r="D191" s="7">
        <v>46078</v>
      </c>
      <c r="E191" s="7" t="s">
        <v>54</v>
      </c>
    </row>
    <row r="192" spans="1:5" x14ac:dyDescent="0.35">
      <c r="A192" t="s">
        <v>123</v>
      </c>
      <c r="B192">
        <v>183</v>
      </c>
      <c r="C192" t="str">
        <f>VLOOKUP(A192,'Food Masterdata'!A:C,3,0)</f>
        <v>grams</v>
      </c>
      <c r="D192" s="7">
        <v>46078</v>
      </c>
      <c r="E192" s="7" t="s">
        <v>54</v>
      </c>
    </row>
    <row r="193" spans="1:5" x14ac:dyDescent="0.35">
      <c r="A193" t="s">
        <v>60</v>
      </c>
      <c r="B193">
        <v>58</v>
      </c>
      <c r="C193" t="str">
        <f>VLOOKUP(A193,'Food Masterdata'!A:C,3,0)</f>
        <v>grams</v>
      </c>
      <c r="D193" s="7">
        <v>46078</v>
      </c>
      <c r="E193" s="7" t="s">
        <v>74</v>
      </c>
    </row>
    <row r="194" spans="1:5" x14ac:dyDescent="0.35">
      <c r="A194" t="s">
        <v>62</v>
      </c>
      <c r="B194">
        <v>7</v>
      </c>
      <c r="C194" t="str">
        <f>VLOOKUP(A194,'Food Masterdata'!A:C,3,0)</f>
        <v>grams</v>
      </c>
      <c r="D194" s="7">
        <v>46078</v>
      </c>
      <c r="E194" s="7" t="s">
        <v>74</v>
      </c>
    </row>
    <row r="195" spans="1:5" x14ac:dyDescent="0.35">
      <c r="A195" t="s">
        <v>123</v>
      </c>
      <c r="B195">
        <v>224</v>
      </c>
      <c r="C195" t="str">
        <f>VLOOKUP(A195,'Food Masterdata'!A:C,3,0)</f>
        <v>grams</v>
      </c>
      <c r="D195" s="7">
        <v>46078</v>
      </c>
      <c r="E195" s="7" t="s">
        <v>74</v>
      </c>
    </row>
    <row r="196" spans="1:5" x14ac:dyDescent="0.35">
      <c r="A196" t="s">
        <v>46</v>
      </c>
      <c r="B196">
        <v>5</v>
      </c>
      <c r="C196" t="str">
        <f>VLOOKUP(A196,'Food Masterdata'!A:C,3,0)</f>
        <v>egg</v>
      </c>
      <c r="D196" s="7">
        <v>46078</v>
      </c>
      <c r="E196" s="7" t="s">
        <v>61</v>
      </c>
    </row>
    <row r="197" spans="1:5" x14ac:dyDescent="0.35">
      <c r="A197" t="s">
        <v>93</v>
      </c>
      <c r="B197">
        <v>120</v>
      </c>
      <c r="C197" t="str">
        <f>VLOOKUP(A197,'Food Masterdata'!A:C,3,0)</f>
        <v>grams</v>
      </c>
      <c r="D197" s="7">
        <v>46078</v>
      </c>
      <c r="E197" s="7" t="s">
        <v>63</v>
      </c>
    </row>
    <row r="198" spans="1:5" x14ac:dyDescent="0.35">
      <c r="A198" t="s">
        <v>64</v>
      </c>
      <c r="B198">
        <v>60</v>
      </c>
      <c r="C198" t="str">
        <f>VLOOKUP(A198,'Food Masterdata'!A:C,3,0)</f>
        <v>grams</v>
      </c>
      <c r="D198" s="7">
        <v>46078</v>
      </c>
      <c r="E198" s="7" t="s">
        <v>63</v>
      </c>
    </row>
    <row r="199" spans="1:5" x14ac:dyDescent="0.35">
      <c r="A199" t="s">
        <v>72</v>
      </c>
      <c r="B199">
        <v>95</v>
      </c>
      <c r="C199" t="str">
        <f>VLOOKUP(A199,'Food Masterdata'!A:C,3,0)</f>
        <v>grams</v>
      </c>
      <c r="D199" s="7">
        <v>46078</v>
      </c>
      <c r="E199" s="7" t="s">
        <v>63</v>
      </c>
    </row>
    <row r="200" spans="1:5" x14ac:dyDescent="0.35">
      <c r="A200" t="s">
        <v>120</v>
      </c>
      <c r="B200">
        <v>150</v>
      </c>
      <c r="C200" t="str">
        <f>VLOOKUP(A200,'Food Masterdata'!A:C,3,0)</f>
        <v>grams</v>
      </c>
      <c r="D200" s="7">
        <v>46078</v>
      </c>
      <c r="E200" s="7" t="s">
        <v>63</v>
      </c>
    </row>
    <row r="201" spans="1:5" x14ac:dyDescent="0.35">
      <c r="A201" t="s">
        <v>97</v>
      </c>
      <c r="B201">
        <v>1</v>
      </c>
      <c r="C201" t="str">
        <f>VLOOKUP(A201,'Food Masterdata'!A:C,3,0)</f>
        <v>grams</v>
      </c>
      <c r="D201" s="7">
        <v>46078</v>
      </c>
      <c r="E201" s="7" t="s">
        <v>63</v>
      </c>
    </row>
    <row r="202" spans="1:5" x14ac:dyDescent="0.35">
      <c r="A202" t="s">
        <v>124</v>
      </c>
      <c r="B202">
        <v>1</v>
      </c>
      <c r="C202" t="str">
        <f>VLOOKUP(A202,'Food Masterdata'!A:C,3,0)</f>
        <v>grams</v>
      </c>
      <c r="D202" s="7">
        <v>46078</v>
      </c>
      <c r="E202" s="7" t="s">
        <v>63</v>
      </c>
    </row>
    <row r="203" spans="1:5" x14ac:dyDescent="0.35">
      <c r="A203" t="s">
        <v>125</v>
      </c>
      <c r="B203">
        <v>1</v>
      </c>
      <c r="C203" t="str">
        <f>VLOOKUP(A203,'Food Masterdata'!A:C,3,0)</f>
        <v>grams</v>
      </c>
      <c r="D203" s="7">
        <v>46078</v>
      </c>
      <c r="E203" s="7" t="s">
        <v>63</v>
      </c>
    </row>
    <row r="204" spans="1:5" x14ac:dyDescent="0.35">
      <c r="A204" t="s">
        <v>98</v>
      </c>
      <c r="B204">
        <v>1</v>
      </c>
      <c r="C204" t="str">
        <f>VLOOKUP(A204,'Food Masterdata'!A:C,3,0)</f>
        <v>grams</v>
      </c>
      <c r="D204" s="7">
        <v>46078</v>
      </c>
      <c r="E204" s="7" t="s">
        <v>63</v>
      </c>
    </row>
    <row r="205" spans="1:5" x14ac:dyDescent="0.35">
      <c r="A205" t="s">
        <v>69</v>
      </c>
      <c r="B205">
        <v>1</v>
      </c>
      <c r="C205" t="str">
        <f>VLOOKUP(A205,'Food Masterdata'!A:C,3,0)</f>
        <v>can</v>
      </c>
      <c r="D205" s="7">
        <v>46079</v>
      </c>
      <c r="E205" s="7" t="s">
        <v>54</v>
      </c>
    </row>
    <row r="206" spans="1:5" x14ac:dyDescent="0.35">
      <c r="A206" t="s">
        <v>57</v>
      </c>
      <c r="B206">
        <v>41</v>
      </c>
      <c r="C206" t="str">
        <f>VLOOKUP(A206,'Food Masterdata'!A:C,3,0)</f>
        <v>grams</v>
      </c>
      <c r="D206" s="7">
        <v>46079</v>
      </c>
      <c r="E206" s="7" t="s">
        <v>54</v>
      </c>
    </row>
    <row r="207" spans="1:5" x14ac:dyDescent="0.35">
      <c r="A207" t="s">
        <v>99</v>
      </c>
      <c r="B207">
        <v>9</v>
      </c>
      <c r="C207" t="str">
        <f>VLOOKUP(A207,'Food Masterdata'!A:C,3,0)</f>
        <v>grams</v>
      </c>
      <c r="D207" s="7">
        <v>46079</v>
      </c>
      <c r="E207" s="7" t="s">
        <v>54</v>
      </c>
    </row>
    <row r="208" spans="1:5" x14ac:dyDescent="0.35">
      <c r="A208" t="s">
        <v>71</v>
      </c>
      <c r="B208">
        <v>13</v>
      </c>
      <c r="C208" t="str">
        <f>VLOOKUP(A208,'Food Masterdata'!A:C,3,0)</f>
        <v>grams</v>
      </c>
      <c r="D208" s="7">
        <v>46079</v>
      </c>
      <c r="E208" s="7" t="s">
        <v>54</v>
      </c>
    </row>
    <row r="209" spans="1:5" x14ac:dyDescent="0.35">
      <c r="A209" t="s">
        <v>123</v>
      </c>
      <c r="B209">
        <v>66</v>
      </c>
      <c r="C209" t="str">
        <f>VLOOKUP(A209,'Food Masterdata'!A:C,3,0)</f>
        <v>grams</v>
      </c>
      <c r="D209" s="7">
        <v>46079</v>
      </c>
      <c r="E209" s="7" t="s">
        <v>54</v>
      </c>
    </row>
    <row r="210" spans="1:5" x14ac:dyDescent="0.35">
      <c r="A210" t="s">
        <v>93</v>
      </c>
      <c r="B210">
        <v>120</v>
      </c>
      <c r="C210" t="str">
        <f>VLOOKUP(A210,'Food Masterdata'!A:C,3,0)</f>
        <v>grams</v>
      </c>
      <c r="D210" s="7">
        <v>46079</v>
      </c>
      <c r="E210" s="7" t="s">
        <v>61</v>
      </c>
    </row>
    <row r="211" spans="1:5" x14ac:dyDescent="0.35">
      <c r="A211" t="s">
        <v>64</v>
      </c>
      <c r="B211">
        <v>60</v>
      </c>
      <c r="C211" t="str">
        <f>VLOOKUP(A211,'Food Masterdata'!A:C,3,0)</f>
        <v>grams</v>
      </c>
      <c r="D211" s="7">
        <v>46079</v>
      </c>
      <c r="E211" s="7" t="s">
        <v>61</v>
      </c>
    </row>
    <row r="212" spans="1:5" x14ac:dyDescent="0.35">
      <c r="A212" t="s">
        <v>72</v>
      </c>
      <c r="B212">
        <v>95</v>
      </c>
      <c r="C212" t="str">
        <f>VLOOKUP(A212,'Food Masterdata'!A:C,3,0)</f>
        <v>grams</v>
      </c>
      <c r="D212" s="7">
        <v>46079</v>
      </c>
      <c r="E212" s="7" t="s">
        <v>61</v>
      </c>
    </row>
    <row r="213" spans="1:5" x14ac:dyDescent="0.35">
      <c r="A213" t="s">
        <v>120</v>
      </c>
      <c r="B213">
        <v>150</v>
      </c>
      <c r="C213" t="str">
        <f>VLOOKUP(A213,'Food Masterdata'!A:C,3,0)</f>
        <v>grams</v>
      </c>
      <c r="D213" s="7">
        <v>46079</v>
      </c>
      <c r="E213" s="7" t="s">
        <v>61</v>
      </c>
    </row>
    <row r="214" spans="1:5" x14ac:dyDescent="0.35">
      <c r="A214" t="s">
        <v>97</v>
      </c>
      <c r="B214">
        <v>1</v>
      </c>
      <c r="C214" t="str">
        <f>VLOOKUP(A214,'Food Masterdata'!A:C,3,0)</f>
        <v>grams</v>
      </c>
      <c r="D214" s="7">
        <v>46079</v>
      </c>
      <c r="E214" s="7" t="s">
        <v>61</v>
      </c>
    </row>
    <row r="215" spans="1:5" x14ac:dyDescent="0.35">
      <c r="A215" t="s">
        <v>124</v>
      </c>
      <c r="B215">
        <v>1</v>
      </c>
      <c r="C215" t="str">
        <f>VLOOKUP(A215,'Food Masterdata'!A:C,3,0)</f>
        <v>grams</v>
      </c>
      <c r="D215" s="7">
        <v>46079</v>
      </c>
      <c r="E215" s="7" t="s">
        <v>61</v>
      </c>
    </row>
    <row r="216" spans="1:5" x14ac:dyDescent="0.35">
      <c r="A216" t="s">
        <v>125</v>
      </c>
      <c r="B216">
        <v>1</v>
      </c>
      <c r="C216" t="str">
        <f>VLOOKUP(A216,'Food Masterdata'!A:C,3,0)</f>
        <v>grams</v>
      </c>
      <c r="D216" s="7">
        <v>46079</v>
      </c>
      <c r="E216" s="7" t="s">
        <v>61</v>
      </c>
    </row>
    <row r="217" spans="1:5" x14ac:dyDescent="0.35">
      <c r="A217" t="s">
        <v>98</v>
      </c>
      <c r="B217">
        <v>1</v>
      </c>
      <c r="C217" t="str">
        <f>VLOOKUP(A217,'Food Masterdata'!A:C,3,0)</f>
        <v>grams</v>
      </c>
      <c r="D217" s="7">
        <v>46079</v>
      </c>
      <c r="E217" s="7" t="s">
        <v>61</v>
      </c>
    </row>
    <row r="218" spans="1:5" x14ac:dyDescent="0.35">
      <c r="A218" t="s">
        <v>62</v>
      </c>
      <c r="B218">
        <v>9</v>
      </c>
      <c r="C218" t="str">
        <f>VLOOKUP(A218,'Food Masterdata'!A:C,3,0)</f>
        <v>grams</v>
      </c>
      <c r="D218" s="7">
        <v>46079</v>
      </c>
      <c r="E218" s="7" t="s">
        <v>63</v>
      </c>
    </row>
    <row r="219" spans="1:5" x14ac:dyDescent="0.35">
      <c r="A219" t="s">
        <v>117</v>
      </c>
      <c r="B219">
        <v>63</v>
      </c>
      <c r="C219" t="str">
        <f>VLOOKUP(A219,'Food Masterdata'!A:C,3,0)</f>
        <v>grams</v>
      </c>
      <c r="D219" s="7">
        <v>46079</v>
      </c>
      <c r="E219" s="7" t="s">
        <v>63</v>
      </c>
    </row>
    <row r="220" spans="1:5" x14ac:dyDescent="0.35">
      <c r="A220" t="s">
        <v>67</v>
      </c>
      <c r="B220">
        <v>120</v>
      </c>
      <c r="C220" t="str">
        <f>VLOOKUP(A220,'Food Masterdata'!A:C,3,0)</f>
        <v>grams</v>
      </c>
      <c r="D220" s="7">
        <v>46079</v>
      </c>
      <c r="E220" s="7" t="s">
        <v>63</v>
      </c>
    </row>
    <row r="221" spans="1:5" x14ac:dyDescent="0.35">
      <c r="A221" t="s">
        <v>81</v>
      </c>
      <c r="B221">
        <v>174</v>
      </c>
      <c r="C221" t="str">
        <f>VLOOKUP(A221,'Food Masterdata'!A:C,3,0)</f>
        <v>grams</v>
      </c>
      <c r="D221" s="7">
        <v>46079</v>
      </c>
      <c r="E221" s="7" t="s">
        <v>74</v>
      </c>
    </row>
    <row r="222" spans="1:5" x14ac:dyDescent="0.35">
      <c r="A222" t="s">
        <v>123</v>
      </c>
      <c r="B222">
        <v>106</v>
      </c>
      <c r="C222" t="str">
        <f>VLOOKUP(A222,'Food Masterdata'!A:C,3,0)</f>
        <v>grams</v>
      </c>
      <c r="D222" s="7">
        <v>46079</v>
      </c>
      <c r="E222" s="7" t="s">
        <v>74</v>
      </c>
    </row>
    <row r="223" spans="1:5" x14ac:dyDescent="0.35">
      <c r="A223" t="s">
        <v>69</v>
      </c>
      <c r="B223">
        <v>1</v>
      </c>
      <c r="C223" t="str">
        <f>VLOOKUP(A223,'Food Masterdata'!A:C,3,0)</f>
        <v>can</v>
      </c>
      <c r="D223" s="7">
        <v>46080</v>
      </c>
      <c r="E223" s="7" t="s">
        <v>54</v>
      </c>
    </row>
    <row r="224" spans="1:5" x14ac:dyDescent="0.35">
      <c r="A224" t="s">
        <v>43</v>
      </c>
      <c r="B224">
        <v>170</v>
      </c>
      <c r="C224" t="str">
        <f>VLOOKUP(A224,'Food Masterdata'!A:C,3,0)</f>
        <v>grams</v>
      </c>
      <c r="D224" s="7">
        <v>46080</v>
      </c>
      <c r="E224" s="7" t="s">
        <v>54</v>
      </c>
    </row>
    <row r="225" spans="1:5" x14ac:dyDescent="0.35">
      <c r="A225" t="s">
        <v>25</v>
      </c>
      <c r="B225">
        <v>225</v>
      </c>
      <c r="C225" t="str">
        <f>VLOOKUP(A225,'Food Masterdata'!A:C,3,0)</f>
        <v>grams</v>
      </c>
      <c r="D225" s="7">
        <v>46080</v>
      </c>
      <c r="E225" s="7" t="s">
        <v>54</v>
      </c>
    </row>
    <row r="226" spans="1:5" x14ac:dyDescent="0.35">
      <c r="A226" t="s">
        <v>123</v>
      </c>
      <c r="B226">
        <v>86</v>
      </c>
      <c r="C226" t="str">
        <f>VLOOKUP(A226,'Food Masterdata'!A:C,3,0)</f>
        <v>grams</v>
      </c>
      <c r="D226" s="7">
        <v>46080</v>
      </c>
      <c r="E226" s="7" t="s">
        <v>54</v>
      </c>
    </row>
    <row r="227" spans="1:5" x14ac:dyDescent="0.35">
      <c r="A227" t="s">
        <v>58</v>
      </c>
      <c r="B227">
        <v>599</v>
      </c>
      <c r="C227" t="str">
        <f>VLOOKUP(A227,'Food Masterdata'!A:C,3,0)</f>
        <v>grams</v>
      </c>
      <c r="D227" s="7">
        <v>46080</v>
      </c>
      <c r="E227" s="7" t="s">
        <v>61</v>
      </c>
    </row>
    <row r="228" spans="1:5" x14ac:dyDescent="0.35">
      <c r="A228" t="s">
        <v>123</v>
      </c>
      <c r="B228">
        <v>123</v>
      </c>
      <c r="C228" t="str">
        <f>VLOOKUP(A228,'Food Masterdata'!A:C,3,0)</f>
        <v>grams</v>
      </c>
      <c r="D228" s="7">
        <v>46080</v>
      </c>
      <c r="E228" s="7" t="s">
        <v>63</v>
      </c>
    </row>
    <row r="229" spans="1:5" x14ac:dyDescent="0.35">
      <c r="A229" t="s">
        <v>60</v>
      </c>
      <c r="B229">
        <v>67</v>
      </c>
      <c r="C229" t="str">
        <f>VLOOKUP(A229,'Food Masterdata'!A:C,3,0)</f>
        <v>grams</v>
      </c>
      <c r="D229" s="7">
        <v>46080</v>
      </c>
      <c r="E229" s="7" t="s">
        <v>63</v>
      </c>
    </row>
    <row r="230" spans="1:5" x14ac:dyDescent="0.35">
      <c r="A230" t="s">
        <v>77</v>
      </c>
      <c r="B230">
        <v>150</v>
      </c>
      <c r="C230" t="str">
        <f>VLOOKUP(A230,'Food Masterdata'!A:C,3,0)</f>
        <v>grams</v>
      </c>
      <c r="D230" s="7">
        <v>46080</v>
      </c>
      <c r="E230" s="7" t="s">
        <v>63</v>
      </c>
    </row>
    <row r="231" spans="1:5" x14ac:dyDescent="0.35">
      <c r="A231" t="s">
        <v>62</v>
      </c>
      <c r="B231">
        <v>9</v>
      </c>
      <c r="C231" t="str">
        <f>VLOOKUP(A231,'Food Masterdata'!A:C,3,0)</f>
        <v>grams</v>
      </c>
      <c r="D231" s="7">
        <v>46080</v>
      </c>
      <c r="E231" s="7" t="s">
        <v>63</v>
      </c>
    </row>
    <row r="232" spans="1:5" x14ac:dyDescent="0.35">
      <c r="A232" t="s">
        <v>55</v>
      </c>
      <c r="B232">
        <v>117</v>
      </c>
      <c r="C232" t="str">
        <f>VLOOKUP(A232,'Food Masterdata'!A:C,3,0)</f>
        <v>grams</v>
      </c>
      <c r="D232" s="7">
        <v>46080</v>
      </c>
      <c r="E232" s="7" t="s">
        <v>74</v>
      </c>
    </row>
    <row r="233" spans="1:5" x14ac:dyDescent="0.35">
      <c r="A233" t="s">
        <v>69</v>
      </c>
      <c r="B233">
        <v>1</v>
      </c>
      <c r="C233" t="str">
        <f>VLOOKUP(A233,'Food Masterdata'!A:C,3,0)</f>
        <v>can</v>
      </c>
      <c r="D233" s="7">
        <v>46080</v>
      </c>
      <c r="E233" s="7" t="s">
        <v>74</v>
      </c>
    </row>
    <row r="234" spans="1:5" x14ac:dyDescent="0.35">
      <c r="A234" t="s">
        <v>45</v>
      </c>
      <c r="B234">
        <v>40</v>
      </c>
      <c r="C234" t="str">
        <f>VLOOKUP(A234,'Food Masterdata'!A:C,3,0)</f>
        <v>grams</v>
      </c>
      <c r="D234" s="7">
        <v>46080</v>
      </c>
      <c r="E234" s="7" t="s">
        <v>74</v>
      </c>
    </row>
    <row r="235" spans="1:5" x14ac:dyDescent="0.35">
      <c r="A235" t="s">
        <v>69</v>
      </c>
      <c r="B235">
        <v>1</v>
      </c>
      <c r="C235" t="str">
        <f>VLOOKUP(A235,'Food Masterdata'!A:C,3,0)</f>
        <v>can</v>
      </c>
      <c r="D235" s="7">
        <v>46081</v>
      </c>
      <c r="E235" s="7" t="s">
        <v>54</v>
      </c>
    </row>
    <row r="236" spans="1:5" x14ac:dyDescent="0.35">
      <c r="A236" t="s">
        <v>43</v>
      </c>
      <c r="B236">
        <v>170</v>
      </c>
      <c r="C236" t="str">
        <f>VLOOKUP(A236,'Food Masterdata'!A:C,3,0)</f>
        <v>grams</v>
      </c>
      <c r="D236" s="7">
        <v>46081</v>
      </c>
      <c r="E236" s="7" t="s">
        <v>54</v>
      </c>
    </row>
    <row r="237" spans="1:5" x14ac:dyDescent="0.35">
      <c r="A237" t="s">
        <v>25</v>
      </c>
      <c r="B237">
        <v>225</v>
      </c>
      <c r="C237" t="str">
        <f>VLOOKUP(A237,'Food Masterdata'!A:C,3,0)</f>
        <v>grams</v>
      </c>
      <c r="D237" s="7">
        <v>46081</v>
      </c>
      <c r="E237" s="7" t="s">
        <v>54</v>
      </c>
    </row>
    <row r="238" spans="1:5" x14ac:dyDescent="0.35">
      <c r="A238" t="s">
        <v>58</v>
      </c>
      <c r="B238">
        <v>638</v>
      </c>
      <c r="C238" t="str">
        <f>VLOOKUP(A238,'Food Masterdata'!A:C,3,0)</f>
        <v>grams</v>
      </c>
      <c r="D238" s="7">
        <v>46081</v>
      </c>
      <c r="E238" s="7" t="s">
        <v>61</v>
      </c>
    </row>
    <row r="239" spans="1:5" x14ac:dyDescent="0.35">
      <c r="A239" t="s">
        <v>62</v>
      </c>
      <c r="B239">
        <v>7</v>
      </c>
      <c r="C239" t="str">
        <f>VLOOKUP(A239,'Food Masterdata'!A:C,3,0)</f>
        <v>grams</v>
      </c>
      <c r="D239" s="7">
        <v>46081</v>
      </c>
      <c r="E239" s="7" t="s">
        <v>63</v>
      </c>
    </row>
    <row r="240" spans="1:5" x14ac:dyDescent="0.35">
      <c r="A240" t="s">
        <v>121</v>
      </c>
      <c r="B240">
        <v>59</v>
      </c>
      <c r="C240" t="str">
        <f>VLOOKUP(A240,'Food Masterdata'!A:C,3,0)</f>
        <v>grams</v>
      </c>
      <c r="D240" s="7">
        <v>46081</v>
      </c>
      <c r="E240" s="7" t="s">
        <v>63</v>
      </c>
    </row>
    <row r="241" spans="1:5" x14ac:dyDescent="0.35">
      <c r="A241" t="s">
        <v>67</v>
      </c>
      <c r="B241">
        <v>120</v>
      </c>
      <c r="C241" t="str">
        <f>VLOOKUP(A241,'Food Masterdata'!A:C,3,0)</f>
        <v>grams</v>
      </c>
      <c r="D241" s="7">
        <v>46081</v>
      </c>
      <c r="E241" s="7" t="s">
        <v>63</v>
      </c>
    </row>
    <row r="242" spans="1:5" x14ac:dyDescent="0.35">
      <c r="A242" t="s">
        <v>45</v>
      </c>
      <c r="B242">
        <v>32</v>
      </c>
      <c r="C242" t="str">
        <f>VLOOKUP(A242,'Food Masterdata'!A:C,3,0)</f>
        <v>grams</v>
      </c>
      <c r="D242" s="7">
        <v>46081</v>
      </c>
      <c r="E242" s="7" t="s">
        <v>63</v>
      </c>
    </row>
    <row r="243" spans="1:5" x14ac:dyDescent="0.35">
      <c r="A243" t="s">
        <v>69</v>
      </c>
      <c r="B243">
        <v>1</v>
      </c>
      <c r="C243" t="str">
        <f>VLOOKUP(A243,'Food Masterdata'!A:C,3,0)</f>
        <v>can</v>
      </c>
      <c r="D243" s="7">
        <v>46081</v>
      </c>
      <c r="E243" s="7" t="s">
        <v>63</v>
      </c>
    </row>
    <row r="244" spans="1:5" x14ac:dyDescent="0.35">
      <c r="A244" t="s">
        <v>55</v>
      </c>
      <c r="B244">
        <v>109</v>
      </c>
      <c r="C244" t="str">
        <f>VLOOKUP(A244,'Food Masterdata'!A:C,3,0)</f>
        <v>grams</v>
      </c>
      <c r="D244" s="7">
        <v>46082</v>
      </c>
      <c r="E244" s="7" t="s">
        <v>54</v>
      </c>
    </row>
    <row r="245" spans="1:5" x14ac:dyDescent="0.35">
      <c r="A245" t="s">
        <v>72</v>
      </c>
      <c r="B245">
        <v>120</v>
      </c>
      <c r="C245" t="str">
        <f>VLOOKUP(A245,'Food Masterdata'!A:C,3,0)</f>
        <v>grams</v>
      </c>
      <c r="D245" s="7">
        <v>46082</v>
      </c>
      <c r="E245" s="7" t="s">
        <v>54</v>
      </c>
    </row>
    <row r="246" spans="1:5" x14ac:dyDescent="0.35">
      <c r="A246" t="s">
        <v>69</v>
      </c>
      <c r="B246">
        <v>1</v>
      </c>
      <c r="C246" t="str">
        <f>VLOOKUP(A246,'Food Masterdata'!A:C,3,0)</f>
        <v>can</v>
      </c>
      <c r="D246" s="7">
        <v>46082</v>
      </c>
      <c r="E246" s="7" t="s">
        <v>54</v>
      </c>
    </row>
    <row r="247" spans="1:5" x14ac:dyDescent="0.35">
      <c r="A247" t="s">
        <v>58</v>
      </c>
      <c r="B247">
        <v>613</v>
      </c>
      <c r="C247" t="str">
        <f>VLOOKUP(A247,'Food Masterdata'!A:C,3,0)</f>
        <v>grams</v>
      </c>
      <c r="D247" s="7">
        <v>46082</v>
      </c>
      <c r="E247" s="7" t="s">
        <v>61</v>
      </c>
    </row>
    <row r="248" spans="1:5" x14ac:dyDescent="0.35">
      <c r="A248" t="s">
        <v>62</v>
      </c>
      <c r="B248">
        <v>9</v>
      </c>
      <c r="C248" t="str">
        <f>VLOOKUP(A248,'Food Masterdata'!A:C,3,0)</f>
        <v>grams</v>
      </c>
      <c r="D248" s="7">
        <v>46082</v>
      </c>
      <c r="E248" s="7" t="s">
        <v>63</v>
      </c>
    </row>
    <row r="249" spans="1:5" x14ac:dyDescent="0.35">
      <c r="A249" t="s">
        <v>60</v>
      </c>
      <c r="B249">
        <v>47</v>
      </c>
      <c r="C249" t="str">
        <f>VLOOKUP(A249,'Food Masterdata'!A:C,3,0)</f>
        <v>grams</v>
      </c>
      <c r="D249" s="7">
        <v>46082</v>
      </c>
      <c r="E249" s="7" t="s">
        <v>63</v>
      </c>
    </row>
    <row r="250" spans="1:5" x14ac:dyDescent="0.35">
      <c r="A250" t="s">
        <v>57</v>
      </c>
      <c r="B250">
        <v>68</v>
      </c>
      <c r="C250" t="str">
        <f>VLOOKUP(A250,'Food Masterdata'!A:C,3,0)</f>
        <v>grams</v>
      </c>
      <c r="D250" s="7">
        <v>46083</v>
      </c>
      <c r="E250" s="7" t="s">
        <v>54</v>
      </c>
    </row>
    <row r="251" spans="1:5" x14ac:dyDescent="0.35">
      <c r="A251" t="s">
        <v>99</v>
      </c>
      <c r="B251">
        <v>7</v>
      </c>
      <c r="C251" t="str">
        <f>VLOOKUP(A251,'Food Masterdata'!A:C,3,0)</f>
        <v>grams</v>
      </c>
      <c r="D251" s="7">
        <v>46083</v>
      </c>
      <c r="E251" s="7" t="s">
        <v>54</v>
      </c>
    </row>
    <row r="252" spans="1:5" x14ac:dyDescent="0.35">
      <c r="A252" t="s">
        <v>71</v>
      </c>
      <c r="B252">
        <v>19</v>
      </c>
      <c r="C252" t="str">
        <f>VLOOKUP(A252,'Food Masterdata'!A:C,3,0)</f>
        <v>grams</v>
      </c>
      <c r="D252" s="7">
        <v>46083</v>
      </c>
      <c r="E252" s="7" t="s">
        <v>54</v>
      </c>
    </row>
    <row r="253" spans="1:5" x14ac:dyDescent="0.35">
      <c r="A253" t="s">
        <v>58</v>
      </c>
      <c r="B253">
        <v>649</v>
      </c>
      <c r="C253" t="str">
        <f>VLOOKUP(A253,'Food Masterdata'!A:C,3,0)</f>
        <v>grams</v>
      </c>
      <c r="D253" s="7">
        <v>46083</v>
      </c>
      <c r="E253" s="7" t="s">
        <v>61</v>
      </c>
    </row>
    <row r="254" spans="1:5" x14ac:dyDescent="0.35">
      <c r="A254" t="s">
        <v>62</v>
      </c>
      <c r="B254">
        <v>6</v>
      </c>
      <c r="C254" t="str">
        <f>VLOOKUP(A254,'Food Masterdata'!A:C,3,0)</f>
        <v>grams</v>
      </c>
      <c r="D254" s="7">
        <v>46083</v>
      </c>
      <c r="E254" s="7" t="s">
        <v>63</v>
      </c>
    </row>
    <row r="255" spans="1:5" x14ac:dyDescent="0.35">
      <c r="A255" t="s">
        <v>122</v>
      </c>
      <c r="B255">
        <v>420</v>
      </c>
      <c r="C255" t="str">
        <f>VLOOKUP(A255,'Food Masterdata'!A:C,3,0)</f>
        <v>grams</v>
      </c>
      <c r="D255" s="7">
        <v>46083</v>
      </c>
      <c r="E255" s="7" t="s">
        <v>63</v>
      </c>
    </row>
    <row r="256" spans="1:5" x14ac:dyDescent="0.35">
      <c r="A256" t="s">
        <v>121</v>
      </c>
      <c r="B256">
        <v>53</v>
      </c>
      <c r="C256" t="str">
        <f>VLOOKUP(A256,'Food Masterdata'!A:C,3,0)</f>
        <v>grams</v>
      </c>
      <c r="D256" s="7">
        <v>46083</v>
      </c>
      <c r="E256" s="7" t="s">
        <v>63</v>
      </c>
    </row>
    <row r="257" spans="1:5" x14ac:dyDescent="0.35">
      <c r="A257" t="s">
        <v>69</v>
      </c>
      <c r="B257">
        <v>1</v>
      </c>
      <c r="C257" t="str">
        <f>VLOOKUP(A257,'Food Masterdata'!A:C,3,0)</f>
        <v>can</v>
      </c>
      <c r="D257" s="7">
        <v>46084</v>
      </c>
      <c r="E257" s="7" t="s">
        <v>54</v>
      </c>
    </row>
    <row r="258" spans="1:5" x14ac:dyDescent="0.35">
      <c r="A258" t="s">
        <v>43</v>
      </c>
      <c r="B258">
        <v>170</v>
      </c>
      <c r="C258" t="str">
        <f>VLOOKUP(A258,'Food Masterdata'!A:C,3,0)</f>
        <v>grams</v>
      </c>
      <c r="D258" s="7">
        <v>46084</v>
      </c>
      <c r="E258" s="7" t="s">
        <v>54</v>
      </c>
    </row>
    <row r="259" spans="1:5" x14ac:dyDescent="0.35">
      <c r="A259" t="s">
        <v>126</v>
      </c>
      <c r="B259">
        <v>117.5</v>
      </c>
      <c r="C259" t="str">
        <f>VLOOKUP(A259,'Food Masterdata'!A:C,3,0)</f>
        <v>grams</v>
      </c>
      <c r="D259" s="7">
        <v>46084</v>
      </c>
      <c r="E259" s="7" t="s">
        <v>54</v>
      </c>
    </row>
    <row r="260" spans="1:5" x14ac:dyDescent="0.35">
      <c r="A260" t="s">
        <v>46</v>
      </c>
      <c r="B260">
        <v>5</v>
      </c>
      <c r="C260" t="str">
        <f>VLOOKUP(A260,'Food Masterdata'!A:C,3,0)</f>
        <v>egg</v>
      </c>
      <c r="D260" s="7">
        <v>46084</v>
      </c>
      <c r="E260" s="7" t="s">
        <v>61</v>
      </c>
    </row>
    <row r="261" spans="1:5" x14ac:dyDescent="0.35">
      <c r="A261" t="s">
        <v>62</v>
      </c>
      <c r="B261">
        <v>7</v>
      </c>
      <c r="C261" t="str">
        <f>VLOOKUP(A261,'Food Masterdata'!A:C,3,0)</f>
        <v>grams</v>
      </c>
      <c r="D261" s="7">
        <v>46084</v>
      </c>
      <c r="E261" s="7" t="s">
        <v>63</v>
      </c>
    </row>
    <row r="262" spans="1:5" x14ac:dyDescent="0.35">
      <c r="A262" t="s">
        <v>117</v>
      </c>
      <c r="B262">
        <v>54</v>
      </c>
      <c r="C262" t="str">
        <f>VLOOKUP(A262,'Food Masterdata'!A:C,3,0)</f>
        <v>grams</v>
      </c>
      <c r="D262" s="7">
        <v>46084</v>
      </c>
      <c r="E262" s="7" t="s">
        <v>63</v>
      </c>
    </row>
    <row r="263" spans="1:5" x14ac:dyDescent="0.35">
      <c r="A263" t="s">
        <v>67</v>
      </c>
      <c r="B263">
        <v>120</v>
      </c>
      <c r="C263" t="str">
        <f>VLOOKUP(A263,'Food Masterdata'!A:C,3,0)</f>
        <v>grams</v>
      </c>
      <c r="D263" s="7">
        <v>46084</v>
      </c>
      <c r="E263" s="7" t="s">
        <v>63</v>
      </c>
    </row>
    <row r="264" spans="1:5" x14ac:dyDescent="0.35">
      <c r="A264" t="s">
        <v>55</v>
      </c>
      <c r="B264">
        <v>99</v>
      </c>
      <c r="C264" t="str">
        <f>VLOOKUP(A264,'Food Masterdata'!A:C,3,0)</f>
        <v>grams</v>
      </c>
      <c r="D264" s="7">
        <v>46084</v>
      </c>
      <c r="E264" s="7" t="s">
        <v>74</v>
      </c>
    </row>
    <row r="265" spans="1:5" x14ac:dyDescent="0.35">
      <c r="A265" t="s">
        <v>72</v>
      </c>
      <c r="B265">
        <v>180</v>
      </c>
      <c r="C265" t="str">
        <f>VLOOKUP(A265,'Food Masterdata'!A:C,3,0)</f>
        <v>grams</v>
      </c>
      <c r="D265" s="7">
        <v>46084</v>
      </c>
      <c r="E265" s="7" t="s">
        <v>74</v>
      </c>
    </row>
    <row r="266" spans="1:5" x14ac:dyDescent="0.35">
      <c r="A266" t="s">
        <v>45</v>
      </c>
      <c r="B266">
        <v>34</v>
      </c>
      <c r="C266" t="str">
        <f>VLOOKUP(A266,'Food Masterdata'!A:C,3,0)</f>
        <v>grams</v>
      </c>
      <c r="D266" s="7">
        <v>46084</v>
      </c>
      <c r="E266" s="7" t="s">
        <v>74</v>
      </c>
    </row>
    <row r="267" spans="1:5" x14ac:dyDescent="0.35">
      <c r="A267" t="s">
        <v>123</v>
      </c>
      <c r="B267">
        <v>89</v>
      </c>
      <c r="C267" t="str">
        <f>VLOOKUP(A267,'Food Masterdata'!A:C,3,0)</f>
        <v>grams</v>
      </c>
      <c r="D267" s="7">
        <v>46084</v>
      </c>
      <c r="E267" s="7" t="s">
        <v>74</v>
      </c>
    </row>
    <row r="268" spans="1:5" x14ac:dyDescent="0.35">
      <c r="A268" t="s">
        <v>69</v>
      </c>
      <c r="B268">
        <v>1</v>
      </c>
      <c r="C268" t="str">
        <f>VLOOKUP(A268,'Food Masterdata'!A:C,3,0)</f>
        <v>can</v>
      </c>
      <c r="D268" s="7">
        <v>46085</v>
      </c>
      <c r="E268" s="7" t="s">
        <v>54</v>
      </c>
    </row>
    <row r="269" spans="1:5" x14ac:dyDescent="0.35">
      <c r="A269" t="s">
        <v>43</v>
      </c>
      <c r="B269">
        <v>170</v>
      </c>
      <c r="C269" t="str">
        <f>VLOOKUP(A269,'Food Masterdata'!A:C,3,0)</f>
        <v>grams</v>
      </c>
      <c r="D269" s="7">
        <v>46085</v>
      </c>
      <c r="E269" s="7" t="s">
        <v>54</v>
      </c>
    </row>
    <row r="270" spans="1:5" x14ac:dyDescent="0.35">
      <c r="A270" t="s">
        <v>126</v>
      </c>
      <c r="B270">
        <v>117.5</v>
      </c>
      <c r="C270" t="str">
        <f>VLOOKUP(A270,'Food Masterdata'!A:C,3,0)</f>
        <v>grams</v>
      </c>
      <c r="D270" s="7">
        <v>46085</v>
      </c>
      <c r="E270" s="7" t="s">
        <v>54</v>
      </c>
    </row>
    <row r="271" spans="1:5" x14ac:dyDescent="0.35">
      <c r="A271" t="s">
        <v>123</v>
      </c>
      <c r="B271">
        <v>137</v>
      </c>
      <c r="C271" t="str">
        <f>VLOOKUP(A271,'Food Masterdata'!A:C,3,0)</f>
        <v>grams</v>
      </c>
      <c r="D271" s="7">
        <v>46085</v>
      </c>
      <c r="E271" s="7" t="s">
        <v>54</v>
      </c>
    </row>
    <row r="272" spans="1:5" x14ac:dyDescent="0.35">
      <c r="A272" t="s">
        <v>46</v>
      </c>
      <c r="B272">
        <v>5</v>
      </c>
      <c r="C272" t="str">
        <f>VLOOKUP(A272,'Food Masterdata'!A:C,3,0)</f>
        <v>egg</v>
      </c>
      <c r="D272" s="7">
        <v>46085</v>
      </c>
      <c r="E272" s="7" t="s">
        <v>61</v>
      </c>
    </row>
    <row r="273" spans="1:5" x14ac:dyDescent="0.35">
      <c r="A273" t="s">
        <v>45</v>
      </c>
      <c r="B273">
        <v>21</v>
      </c>
      <c r="C273" t="str">
        <f>VLOOKUP(A273,'Food Masterdata'!A:C,3,0)</f>
        <v>grams</v>
      </c>
      <c r="D273" s="7">
        <v>46085</v>
      </c>
      <c r="E273" s="7" t="s">
        <v>61</v>
      </c>
    </row>
    <row r="274" spans="1:5" x14ac:dyDescent="0.35">
      <c r="A274" t="s">
        <v>60</v>
      </c>
      <c r="B274">
        <v>48</v>
      </c>
      <c r="C274" t="str">
        <f>VLOOKUP(A274,'Food Masterdata'!A:C,3,0)</f>
        <v>grams</v>
      </c>
      <c r="D274" s="7">
        <v>46085</v>
      </c>
      <c r="E274" s="7" t="s">
        <v>61</v>
      </c>
    </row>
    <row r="275" spans="1:5" x14ac:dyDescent="0.35">
      <c r="A275" t="s">
        <v>124</v>
      </c>
      <c r="B275">
        <v>194</v>
      </c>
      <c r="C275" t="str">
        <f>VLOOKUP(A275,'Food Masterdata'!A:C,3,0)</f>
        <v>grams</v>
      </c>
      <c r="D275" s="7">
        <v>46085</v>
      </c>
      <c r="E275" s="7" t="s">
        <v>63</v>
      </c>
    </row>
    <row r="276" spans="1:5" x14ac:dyDescent="0.35">
      <c r="A276" t="s">
        <v>127</v>
      </c>
      <c r="B276">
        <v>153</v>
      </c>
      <c r="C276" t="str">
        <f>VLOOKUP(A276,'Food Masterdata'!A:C,3,0)</f>
        <v>grams</v>
      </c>
      <c r="D276" s="7">
        <v>46085</v>
      </c>
      <c r="E276" s="7" t="s">
        <v>63</v>
      </c>
    </row>
    <row r="277" spans="1:5" x14ac:dyDescent="0.35">
      <c r="A277" t="s">
        <v>128</v>
      </c>
      <c r="B277">
        <v>75</v>
      </c>
      <c r="C277" t="str">
        <f>VLOOKUP(A277,'Food Masterdata'!A:C,3,0)</f>
        <v>grams</v>
      </c>
      <c r="D277" s="7">
        <v>46085</v>
      </c>
      <c r="E277" s="7" t="s">
        <v>63</v>
      </c>
    </row>
    <row r="278" spans="1:5" x14ac:dyDescent="0.35">
      <c r="A278" t="s">
        <v>69</v>
      </c>
      <c r="B278">
        <v>1</v>
      </c>
      <c r="C278" t="str">
        <f>VLOOKUP(A278,'Food Masterdata'!A:C,3,0)</f>
        <v>can</v>
      </c>
      <c r="D278" s="7">
        <v>46085</v>
      </c>
      <c r="E278" s="7" t="s">
        <v>63</v>
      </c>
    </row>
    <row r="279" spans="1:5" x14ac:dyDescent="0.35">
      <c r="A279" t="s">
        <v>69</v>
      </c>
      <c r="B279">
        <v>1</v>
      </c>
      <c r="C279" t="str">
        <f>VLOOKUP(A279,'Food Masterdata'!A:C,3,0)</f>
        <v>can</v>
      </c>
      <c r="D279" s="7">
        <v>46086</v>
      </c>
      <c r="E279" s="7" t="s">
        <v>54</v>
      </c>
    </row>
    <row r="280" spans="1:5" x14ac:dyDescent="0.35">
      <c r="A280" t="s">
        <v>57</v>
      </c>
      <c r="B280">
        <v>53</v>
      </c>
      <c r="C280" t="str">
        <f>VLOOKUP(A280,'Food Masterdata'!A:C,3,0)</f>
        <v>grams</v>
      </c>
      <c r="D280" s="7">
        <v>46086</v>
      </c>
      <c r="E280" s="7" t="s">
        <v>54</v>
      </c>
    </row>
    <row r="281" spans="1:5" x14ac:dyDescent="0.35">
      <c r="A281" t="s">
        <v>99</v>
      </c>
      <c r="B281">
        <v>8</v>
      </c>
      <c r="C281" t="str">
        <f>VLOOKUP(A281,'Food Masterdata'!A:C,3,0)</f>
        <v>grams</v>
      </c>
      <c r="D281" s="7">
        <v>46086</v>
      </c>
      <c r="E281" s="7" t="s">
        <v>54</v>
      </c>
    </row>
    <row r="282" spans="1:5" x14ac:dyDescent="0.35">
      <c r="A282" t="s">
        <v>71</v>
      </c>
      <c r="B282">
        <v>20</v>
      </c>
      <c r="C282" t="str">
        <f>VLOOKUP(A282,'Food Masterdata'!A:C,3,0)</f>
        <v>grams</v>
      </c>
      <c r="D282" s="7">
        <v>46086</v>
      </c>
      <c r="E282" s="7" t="s">
        <v>54</v>
      </c>
    </row>
    <row r="283" spans="1:5" x14ac:dyDescent="0.35">
      <c r="A283" t="s">
        <v>58</v>
      </c>
      <c r="B283">
        <v>547</v>
      </c>
      <c r="C283" t="str">
        <f>VLOOKUP(A283,'Food Masterdata'!A:C,3,0)</f>
        <v>grams</v>
      </c>
      <c r="D283" s="7">
        <v>46086</v>
      </c>
      <c r="E283" s="7" t="s">
        <v>61</v>
      </c>
    </row>
    <row r="284" spans="1:5" x14ac:dyDescent="0.35">
      <c r="A284" t="s">
        <v>129</v>
      </c>
      <c r="B284">
        <v>240</v>
      </c>
      <c r="C284" t="str">
        <f>VLOOKUP(A284,'Food Masterdata'!A:C,3,0)</f>
        <v>grams</v>
      </c>
      <c r="D284" s="7">
        <v>46086</v>
      </c>
      <c r="E284" s="7" t="s">
        <v>61</v>
      </c>
    </row>
    <row r="285" spans="1:5" x14ac:dyDescent="0.35">
      <c r="A285" t="s">
        <v>130</v>
      </c>
      <c r="B285">
        <v>18</v>
      </c>
      <c r="C285" t="str">
        <f>VLOOKUP(A285,'Food Masterdata'!A:C,3,0)</f>
        <v>grams</v>
      </c>
      <c r="D285" s="7">
        <v>46086</v>
      </c>
      <c r="E285" s="7" t="s">
        <v>61</v>
      </c>
    </row>
    <row r="286" spans="1:5" x14ac:dyDescent="0.35">
      <c r="A286" t="s">
        <v>77</v>
      </c>
      <c r="B286">
        <v>97</v>
      </c>
      <c r="C286" t="str">
        <f>VLOOKUP(A286,'Food Masterdata'!A:C,3,0)</f>
        <v>grams</v>
      </c>
      <c r="D286" s="7">
        <v>46086</v>
      </c>
      <c r="E286" s="7" t="s">
        <v>63</v>
      </c>
    </row>
    <row r="287" spans="1:5" x14ac:dyDescent="0.35">
      <c r="A287" t="s">
        <v>66</v>
      </c>
      <c r="B287">
        <v>100</v>
      </c>
      <c r="C287" t="str">
        <f>VLOOKUP(A287,'Food Masterdata'!A:C,3,0)</f>
        <v>grams</v>
      </c>
      <c r="D287" s="7">
        <v>46086</v>
      </c>
      <c r="E287" s="7" t="s">
        <v>63</v>
      </c>
    </row>
    <row r="288" spans="1:5" x14ac:dyDescent="0.35">
      <c r="A288" t="s">
        <v>121</v>
      </c>
      <c r="B288">
        <v>57</v>
      </c>
      <c r="C288" t="str">
        <f>VLOOKUP(A288,'Food Masterdata'!A:C,3,0)</f>
        <v>grams</v>
      </c>
      <c r="D288" s="7">
        <v>46086</v>
      </c>
      <c r="E288" s="7" t="s">
        <v>63</v>
      </c>
    </row>
    <row r="289" spans="1:5" x14ac:dyDescent="0.35">
      <c r="A289" t="s">
        <v>55</v>
      </c>
      <c r="B289">
        <v>150</v>
      </c>
      <c r="C289" t="str">
        <f>VLOOKUP(A289,'Food Masterdata'!A:C,3,0)</f>
        <v>grams</v>
      </c>
      <c r="D289" s="7">
        <v>46086</v>
      </c>
      <c r="E289" s="7" t="s">
        <v>74</v>
      </c>
    </row>
    <row r="290" spans="1:5" x14ac:dyDescent="0.35">
      <c r="A290" t="s">
        <v>62</v>
      </c>
      <c r="B290">
        <v>9</v>
      </c>
      <c r="C290" t="str">
        <f>VLOOKUP(A290,'Food Masterdata'!A:C,3,0)</f>
        <v>grams</v>
      </c>
      <c r="D290" s="7">
        <v>46086</v>
      </c>
      <c r="E290" s="7" t="s">
        <v>74</v>
      </c>
    </row>
    <row r="291" spans="1:5" x14ac:dyDescent="0.35">
      <c r="A291" t="s">
        <v>123</v>
      </c>
      <c r="B291">
        <v>153</v>
      </c>
      <c r="C291" t="str">
        <f>VLOOKUP(A291,'Food Masterdata'!A:C,3,0)</f>
        <v>grams</v>
      </c>
      <c r="D291" s="7">
        <v>46086</v>
      </c>
      <c r="E291" s="7" t="s">
        <v>74</v>
      </c>
    </row>
    <row r="292" spans="1:5" x14ac:dyDescent="0.35">
      <c r="A292" t="s">
        <v>69</v>
      </c>
      <c r="B292">
        <v>1</v>
      </c>
      <c r="C292" t="str">
        <f>VLOOKUP(A292,'Food Masterdata'!A:C,3,0)</f>
        <v>can</v>
      </c>
      <c r="D292" s="7">
        <v>46087</v>
      </c>
      <c r="E292" s="7" t="s">
        <v>54</v>
      </c>
    </row>
    <row r="293" spans="1:5" x14ac:dyDescent="0.35">
      <c r="A293" t="s">
        <v>67</v>
      </c>
      <c r="B293">
        <v>240</v>
      </c>
      <c r="C293" t="str">
        <f>VLOOKUP(A293,'Food Masterdata'!A:C,3,0)</f>
        <v>grams</v>
      </c>
      <c r="D293" s="7">
        <v>46087</v>
      </c>
      <c r="E293" s="7" t="s">
        <v>54</v>
      </c>
    </row>
    <row r="294" spans="1:5" x14ac:dyDescent="0.35">
      <c r="A294" t="s">
        <v>58</v>
      </c>
      <c r="B294">
        <v>489</v>
      </c>
      <c r="C294" t="str">
        <f>VLOOKUP(A294,'Food Masterdata'!A:C,3,0)</f>
        <v>grams</v>
      </c>
      <c r="D294" s="7">
        <v>46087</v>
      </c>
      <c r="E294" s="7" t="s">
        <v>61</v>
      </c>
    </row>
    <row r="295" spans="1:5" x14ac:dyDescent="0.35">
      <c r="A295" t="s">
        <v>77</v>
      </c>
      <c r="B295">
        <v>116</v>
      </c>
      <c r="C295" t="str">
        <f>VLOOKUP(A295,'Food Masterdata'!A:C,3,0)</f>
        <v>grams</v>
      </c>
      <c r="D295" s="7">
        <v>46087</v>
      </c>
      <c r="E295" s="7" t="s">
        <v>63</v>
      </c>
    </row>
    <row r="296" spans="1:5" x14ac:dyDescent="0.35">
      <c r="A296" t="s">
        <v>62</v>
      </c>
      <c r="B296">
        <v>7</v>
      </c>
      <c r="C296" t="str">
        <f>VLOOKUP(A296,'Food Masterdata'!A:C,3,0)</f>
        <v>grams</v>
      </c>
      <c r="D296" s="7">
        <v>46087</v>
      </c>
      <c r="E296" s="7" t="s">
        <v>63</v>
      </c>
    </row>
    <row r="297" spans="1:5" x14ac:dyDescent="0.35">
      <c r="A297" t="s">
        <v>119</v>
      </c>
      <c r="B297">
        <v>50</v>
      </c>
      <c r="C297" t="str">
        <f>VLOOKUP(A297,'Food Masterdata'!A:C,3,0)</f>
        <v>grams</v>
      </c>
      <c r="D297" s="7">
        <v>46087</v>
      </c>
      <c r="E297" s="7" t="s">
        <v>63</v>
      </c>
    </row>
    <row r="298" spans="1:5" x14ac:dyDescent="0.35">
      <c r="A298" t="s">
        <v>122</v>
      </c>
      <c r="B298">
        <v>420</v>
      </c>
      <c r="C298" t="str">
        <f>VLOOKUP(A298,'Food Masterdata'!A:C,3,0)</f>
        <v>grams</v>
      </c>
      <c r="D298" s="7">
        <v>46087</v>
      </c>
      <c r="E298" s="7" t="s">
        <v>63</v>
      </c>
    </row>
    <row r="299" spans="1:5" x14ac:dyDescent="0.35">
      <c r="A299" t="s">
        <v>55</v>
      </c>
      <c r="B299">
        <v>111</v>
      </c>
      <c r="C299" t="str">
        <f>VLOOKUP(A299,'Food Masterdata'!A:C,3,0)</f>
        <v>grams</v>
      </c>
      <c r="D299" s="7">
        <v>46087</v>
      </c>
      <c r="E299" s="7" t="s">
        <v>74</v>
      </c>
    </row>
    <row r="300" spans="1:5" x14ac:dyDescent="0.35">
      <c r="A300" t="s">
        <v>69</v>
      </c>
      <c r="B300">
        <v>1</v>
      </c>
      <c r="C300" t="str">
        <f>VLOOKUP(A300,'Food Masterdata'!A:C,3,0)</f>
        <v>can</v>
      </c>
      <c r="D300" s="7">
        <v>46087</v>
      </c>
      <c r="E300" s="7" t="s">
        <v>74</v>
      </c>
    </row>
    <row r="301" spans="1:5" x14ac:dyDescent="0.35">
      <c r="A301" t="s">
        <v>123</v>
      </c>
      <c r="B301">
        <v>135</v>
      </c>
      <c r="C301" t="str">
        <f>VLOOKUP(A301,'Food Masterdata'!A:C,3,0)</f>
        <v>grams</v>
      </c>
      <c r="D301" s="7">
        <v>46087</v>
      </c>
      <c r="E301" s="7" t="s">
        <v>74</v>
      </c>
    </row>
    <row r="302" spans="1:5" x14ac:dyDescent="0.35">
      <c r="A302" t="s">
        <v>69</v>
      </c>
      <c r="B302">
        <v>1</v>
      </c>
      <c r="C302" t="str">
        <f>VLOOKUP(A302,'Food Masterdata'!A:C,3,0)</f>
        <v>can</v>
      </c>
      <c r="D302" s="7">
        <v>46088</v>
      </c>
      <c r="E302" s="7" t="s">
        <v>54</v>
      </c>
    </row>
    <row r="303" spans="1:5" x14ac:dyDescent="0.35">
      <c r="A303" t="s">
        <v>67</v>
      </c>
      <c r="B303">
        <v>120</v>
      </c>
      <c r="C303" t="str">
        <f>VLOOKUP(A303,'Food Masterdata'!A:C,3,0)</f>
        <v>grams</v>
      </c>
      <c r="D303" s="7">
        <v>46088</v>
      </c>
      <c r="E303" s="7" t="s">
        <v>54</v>
      </c>
    </row>
    <row r="304" spans="1:5" x14ac:dyDescent="0.35">
      <c r="A304" t="s">
        <v>45</v>
      </c>
      <c r="B304">
        <v>43</v>
      </c>
      <c r="C304" t="str">
        <f>VLOOKUP(A304,'Food Masterdata'!A:C,3,0)</f>
        <v>grams</v>
      </c>
      <c r="D304" s="7">
        <v>46088</v>
      </c>
      <c r="E304" s="7" t="s">
        <v>54</v>
      </c>
    </row>
    <row r="305" spans="1:5" x14ac:dyDescent="0.35">
      <c r="A305" t="s">
        <v>64</v>
      </c>
      <c r="B305">
        <v>40</v>
      </c>
      <c r="C305" t="str">
        <f>VLOOKUP(A305,'Food Masterdata'!A:C,3,0)</f>
        <v>grams</v>
      </c>
      <c r="D305" s="7">
        <v>46088</v>
      </c>
      <c r="E305" s="7" t="s">
        <v>61</v>
      </c>
    </row>
    <row r="306" spans="1:5" x14ac:dyDescent="0.35">
      <c r="A306" t="s">
        <v>93</v>
      </c>
      <c r="B306">
        <v>95</v>
      </c>
      <c r="C306" t="str">
        <f>VLOOKUP(A306,'Food Masterdata'!A:C,3,0)</f>
        <v>grams</v>
      </c>
      <c r="D306" s="7">
        <v>46088</v>
      </c>
      <c r="E306" s="7" t="s">
        <v>61</v>
      </c>
    </row>
    <row r="307" spans="1:5" x14ac:dyDescent="0.35">
      <c r="A307" t="s">
        <v>94</v>
      </c>
      <c r="B307">
        <v>250</v>
      </c>
      <c r="C307" t="str">
        <f>VLOOKUP(A307,'Food Masterdata'!A:C,3,0)</f>
        <v>grams</v>
      </c>
      <c r="D307" s="7">
        <v>46088</v>
      </c>
      <c r="E307" s="7" t="s">
        <v>61</v>
      </c>
    </row>
    <row r="308" spans="1:5" x14ac:dyDescent="0.35">
      <c r="A308" t="s">
        <v>91</v>
      </c>
      <c r="B308">
        <v>110</v>
      </c>
      <c r="C308" t="str">
        <f>VLOOKUP(A308,'Food Masterdata'!A:C,3,0)</f>
        <v>grams</v>
      </c>
      <c r="D308" s="7">
        <v>46088</v>
      </c>
      <c r="E308" s="7" t="s">
        <v>61</v>
      </c>
    </row>
    <row r="309" spans="1:5" x14ac:dyDescent="0.35">
      <c r="A309" t="s">
        <v>98</v>
      </c>
      <c r="B309">
        <v>1</v>
      </c>
      <c r="C309" t="str">
        <f>VLOOKUP(A309,'Food Masterdata'!A:C,3,0)</f>
        <v>grams</v>
      </c>
      <c r="D309" s="7">
        <v>46088</v>
      </c>
      <c r="E309" s="7" t="s">
        <v>61</v>
      </c>
    </row>
    <row r="310" spans="1:5" ht="15" customHeight="1" x14ac:dyDescent="0.35">
      <c r="A310" t="s">
        <v>97</v>
      </c>
      <c r="B310">
        <v>1</v>
      </c>
      <c r="C310" t="str">
        <f>VLOOKUP(A310,'Food Masterdata'!A:C,3,0)</f>
        <v>grams</v>
      </c>
      <c r="D310" s="7">
        <v>46088</v>
      </c>
      <c r="E310" s="7" t="s">
        <v>61</v>
      </c>
    </row>
    <row r="311" spans="1:5" ht="15" customHeight="1" x14ac:dyDescent="0.35">
      <c r="A311" t="s">
        <v>95</v>
      </c>
      <c r="B311">
        <v>1</v>
      </c>
      <c r="C311" t="str">
        <f>VLOOKUP(A311,'Food Masterdata'!A:C,3,0)</f>
        <v>grams</v>
      </c>
      <c r="D311" s="7">
        <v>46088</v>
      </c>
      <c r="E311" s="7" t="s">
        <v>61</v>
      </c>
    </row>
    <row r="312" spans="1:5" ht="15" customHeight="1" x14ac:dyDescent="0.35">
      <c r="A312" t="s">
        <v>64</v>
      </c>
      <c r="B312">
        <v>40</v>
      </c>
      <c r="C312" t="str">
        <f>VLOOKUP(A312,'Food Masterdata'!A:C,3,0)</f>
        <v>grams</v>
      </c>
      <c r="D312" s="7">
        <v>46088</v>
      </c>
      <c r="E312" s="7" t="s">
        <v>63</v>
      </c>
    </row>
    <row r="313" spans="1:5" ht="15" customHeight="1" x14ac:dyDescent="0.35">
      <c r="A313" t="s">
        <v>93</v>
      </c>
      <c r="B313">
        <v>95</v>
      </c>
      <c r="C313" t="str">
        <f>VLOOKUP(A313,'Food Masterdata'!A:C,3,0)</f>
        <v>grams</v>
      </c>
      <c r="D313" s="7">
        <v>46088</v>
      </c>
      <c r="E313" s="7" t="s">
        <v>63</v>
      </c>
    </row>
    <row r="314" spans="1:5" ht="15" customHeight="1" x14ac:dyDescent="0.35">
      <c r="A314" t="s">
        <v>94</v>
      </c>
      <c r="B314">
        <v>250</v>
      </c>
      <c r="C314" t="str">
        <f>VLOOKUP(A314,'Food Masterdata'!A:C,3,0)</f>
        <v>grams</v>
      </c>
      <c r="D314" s="7">
        <v>46088</v>
      </c>
      <c r="E314" s="7" t="s">
        <v>63</v>
      </c>
    </row>
    <row r="315" spans="1:5" ht="15" customHeight="1" x14ac:dyDescent="0.35">
      <c r="A315" t="s">
        <v>91</v>
      </c>
      <c r="B315">
        <v>110</v>
      </c>
      <c r="C315" t="str">
        <f>VLOOKUP(A315,'Food Masterdata'!A:C,3,0)</f>
        <v>grams</v>
      </c>
      <c r="D315" s="7">
        <v>46088</v>
      </c>
      <c r="E315" s="7" t="s">
        <v>63</v>
      </c>
    </row>
    <row r="316" spans="1:5" ht="15" customHeight="1" x14ac:dyDescent="0.35">
      <c r="A316" t="s">
        <v>98</v>
      </c>
      <c r="B316">
        <v>1</v>
      </c>
      <c r="C316" t="str">
        <f>VLOOKUP(A316,'Food Masterdata'!A:C,3,0)</f>
        <v>grams</v>
      </c>
      <c r="D316" s="7">
        <v>46088</v>
      </c>
      <c r="E316" s="7" t="s">
        <v>63</v>
      </c>
    </row>
    <row r="317" spans="1:5" x14ac:dyDescent="0.35">
      <c r="A317" t="s">
        <v>97</v>
      </c>
      <c r="B317">
        <v>1</v>
      </c>
      <c r="C317" t="str">
        <f>VLOOKUP(A317,'Food Masterdata'!A:C,3,0)</f>
        <v>grams</v>
      </c>
      <c r="D317" s="7">
        <v>46088</v>
      </c>
      <c r="E317" s="7" t="s">
        <v>63</v>
      </c>
    </row>
    <row r="318" spans="1:5" x14ac:dyDescent="0.35">
      <c r="A318" t="s">
        <v>95</v>
      </c>
      <c r="B318">
        <v>1</v>
      </c>
      <c r="C318" t="str">
        <f>VLOOKUP(A318,'Food Masterdata'!A:C,3,0)</f>
        <v>grams</v>
      </c>
      <c r="D318" s="7">
        <v>46088</v>
      </c>
      <c r="E318" s="7" t="s">
        <v>61</v>
      </c>
    </row>
    <row r="319" spans="1:5" x14ac:dyDescent="0.35">
      <c r="A319" t="s">
        <v>67</v>
      </c>
      <c r="B319">
        <v>240</v>
      </c>
      <c r="C319" t="str">
        <f>VLOOKUP(A319,'Food Masterdata'!A:C,3,0)</f>
        <v>grams</v>
      </c>
      <c r="D319" s="7">
        <v>46090</v>
      </c>
      <c r="E319" s="7" t="s">
        <v>54</v>
      </c>
    </row>
    <row r="320" spans="1:5" x14ac:dyDescent="0.35">
      <c r="A320" t="s">
        <v>62</v>
      </c>
      <c r="B320">
        <v>2</v>
      </c>
      <c r="C320" t="str">
        <f>VLOOKUP(A320,'Food Masterdata'!A:C,3,0)</f>
        <v>grams</v>
      </c>
      <c r="D320" s="7">
        <v>46090</v>
      </c>
      <c r="E320" s="7" t="s">
        <v>54</v>
      </c>
    </row>
    <row r="321" spans="1:5" x14ac:dyDescent="0.35">
      <c r="A321" t="s">
        <v>121</v>
      </c>
      <c r="B321">
        <v>60</v>
      </c>
      <c r="C321" t="str">
        <f>VLOOKUP(A321,'Food Masterdata'!A:C,3,0)</f>
        <v>grams</v>
      </c>
      <c r="D321" s="7">
        <v>46090</v>
      </c>
      <c r="E321" s="7" t="s">
        <v>54</v>
      </c>
    </row>
    <row r="322" spans="1:5" x14ac:dyDescent="0.35">
      <c r="A322" t="s">
        <v>128</v>
      </c>
      <c r="B322">
        <v>75</v>
      </c>
      <c r="C322" t="str">
        <f>VLOOKUP(A322,'Food Masterdata'!A:C,3,0)</f>
        <v>grams</v>
      </c>
      <c r="D322" s="7">
        <v>46090</v>
      </c>
      <c r="E322" s="7" t="s">
        <v>61</v>
      </c>
    </row>
    <row r="323" spans="1:5" x14ac:dyDescent="0.35">
      <c r="A323" t="s">
        <v>46</v>
      </c>
      <c r="B323">
        <v>5</v>
      </c>
      <c r="C323" t="str">
        <f>VLOOKUP(A323,'Food Masterdata'!A:C,3,0)</f>
        <v>egg</v>
      </c>
      <c r="D323" s="7">
        <v>46090</v>
      </c>
      <c r="E323" s="7" t="s">
        <v>61</v>
      </c>
    </row>
    <row r="324" spans="1:5" x14ac:dyDescent="0.35">
      <c r="A324" t="s">
        <v>69</v>
      </c>
      <c r="B324">
        <v>1</v>
      </c>
      <c r="C324" t="str">
        <f>VLOOKUP(A324,'Food Masterdata'!A:C,3,0)</f>
        <v>can</v>
      </c>
      <c r="D324" s="7">
        <v>46090</v>
      </c>
      <c r="E324" s="7" t="s">
        <v>61</v>
      </c>
    </row>
    <row r="325" spans="1:5" x14ac:dyDescent="0.35">
      <c r="A325" t="s">
        <v>60</v>
      </c>
      <c r="B325">
        <v>62</v>
      </c>
      <c r="C325" t="str">
        <f>VLOOKUP(A325,'Food Masterdata'!A:C,3,0)</f>
        <v>grams</v>
      </c>
      <c r="D325" s="7">
        <v>46090</v>
      </c>
      <c r="E325" s="7" t="s">
        <v>63</v>
      </c>
    </row>
    <row r="326" spans="1:5" x14ac:dyDescent="0.35">
      <c r="A326" t="s">
        <v>122</v>
      </c>
      <c r="B326">
        <v>420</v>
      </c>
      <c r="C326" t="str">
        <f>VLOOKUP(A326,'Food Masterdata'!A:C,3,0)</f>
        <v>grams</v>
      </c>
      <c r="D326" s="7">
        <v>46090</v>
      </c>
      <c r="E326" s="7" t="s">
        <v>63</v>
      </c>
    </row>
    <row r="327" spans="1:5" x14ac:dyDescent="0.35">
      <c r="A327" t="s">
        <v>69</v>
      </c>
      <c r="B327">
        <v>1</v>
      </c>
      <c r="C327" t="str">
        <f>VLOOKUP(A327,'Food Masterdata'!A:C,3,0)</f>
        <v>can</v>
      </c>
      <c r="D327" s="7">
        <v>46091</v>
      </c>
      <c r="E327" s="7" t="s">
        <v>54</v>
      </c>
    </row>
    <row r="328" spans="1:5" x14ac:dyDescent="0.35">
      <c r="A328" t="s">
        <v>25</v>
      </c>
      <c r="B328">
        <v>225</v>
      </c>
      <c r="C328" t="str">
        <f>VLOOKUP(A328,'Food Masterdata'!A:C,3,0)</f>
        <v>grams</v>
      </c>
      <c r="D328" s="7">
        <v>46091</v>
      </c>
      <c r="E328" s="7" t="s">
        <v>54</v>
      </c>
    </row>
    <row r="329" spans="1:5" x14ac:dyDescent="0.35">
      <c r="A329" t="s">
        <v>43</v>
      </c>
      <c r="B329">
        <v>170</v>
      </c>
      <c r="C329" t="str">
        <f>VLOOKUP(A329,'Food Masterdata'!A:C,3,0)</f>
        <v>grams</v>
      </c>
      <c r="D329" s="7">
        <v>46091</v>
      </c>
      <c r="E329" s="7" t="s">
        <v>54</v>
      </c>
    </row>
    <row r="330" spans="1:5" x14ac:dyDescent="0.35">
      <c r="A330" t="s">
        <v>71</v>
      </c>
      <c r="B330">
        <v>10</v>
      </c>
      <c r="C330" t="str">
        <f>VLOOKUP(A330,'Food Masterdata'!A:C,3,0)</f>
        <v>grams</v>
      </c>
      <c r="D330" s="7">
        <v>46091</v>
      </c>
      <c r="E330" s="7" t="s">
        <v>54</v>
      </c>
    </row>
    <row r="331" spans="1:5" x14ac:dyDescent="0.35">
      <c r="A331" t="s">
        <v>58</v>
      </c>
      <c r="B331">
        <v>540</v>
      </c>
      <c r="C331" t="str">
        <f>VLOOKUP(A331,'Food Masterdata'!A:C,3,0)</f>
        <v>grams</v>
      </c>
      <c r="D331" s="7">
        <v>46091</v>
      </c>
      <c r="E331" s="7" t="s">
        <v>61</v>
      </c>
    </row>
    <row r="332" spans="1:5" x14ac:dyDescent="0.35">
      <c r="A332" t="s">
        <v>123</v>
      </c>
      <c r="B332">
        <v>388</v>
      </c>
      <c r="C332" t="str">
        <f>VLOOKUP(A332,'Food Masterdata'!A:C,3,0)</f>
        <v>grams</v>
      </c>
      <c r="D332" s="7">
        <v>46091</v>
      </c>
      <c r="E332" s="7" t="s">
        <v>63</v>
      </c>
    </row>
    <row r="333" spans="1:5" x14ac:dyDescent="0.35">
      <c r="A333" t="s">
        <v>117</v>
      </c>
      <c r="B333">
        <v>62</v>
      </c>
      <c r="C333" t="str">
        <f>VLOOKUP(A333,'Food Masterdata'!A:C,3,0)</f>
        <v>grams</v>
      </c>
      <c r="D333" s="7">
        <v>46091</v>
      </c>
      <c r="E333" s="7" t="s">
        <v>63</v>
      </c>
    </row>
    <row r="334" spans="1:5" x14ac:dyDescent="0.35">
      <c r="A334" t="s">
        <v>81</v>
      </c>
      <c r="B334">
        <v>66</v>
      </c>
      <c r="C334" t="str">
        <f>VLOOKUP(A334,'Food Masterdata'!A:C,3,0)</f>
        <v>grams</v>
      </c>
      <c r="D334" s="7">
        <v>46091</v>
      </c>
      <c r="E334" s="7" t="s">
        <v>74</v>
      </c>
    </row>
    <row r="335" spans="1:5" x14ac:dyDescent="0.35">
      <c r="A335" t="s">
        <v>69</v>
      </c>
      <c r="B335">
        <v>1</v>
      </c>
      <c r="C335" t="str">
        <f>VLOOKUP(A335,'Food Masterdata'!A:C,3,0)</f>
        <v>can</v>
      </c>
      <c r="D335" s="7">
        <v>46091</v>
      </c>
      <c r="E335" s="7" t="s">
        <v>74</v>
      </c>
    </row>
    <row r="336" spans="1:5" x14ac:dyDescent="0.35">
      <c r="A336" t="s">
        <v>69</v>
      </c>
      <c r="B336">
        <v>1</v>
      </c>
      <c r="C336" t="str">
        <f>VLOOKUP(A336,'Food Masterdata'!A:C,3,0)</f>
        <v>can</v>
      </c>
      <c r="D336" s="7">
        <v>46092</v>
      </c>
      <c r="E336" s="7" t="s">
        <v>54</v>
      </c>
    </row>
    <row r="337" spans="1:5" x14ac:dyDescent="0.35">
      <c r="A337" t="s">
        <v>25</v>
      </c>
      <c r="B337">
        <v>225</v>
      </c>
      <c r="C337" t="str">
        <f>VLOOKUP(A337,'Food Masterdata'!A:C,3,0)</f>
        <v>grams</v>
      </c>
      <c r="D337" s="7">
        <v>46092</v>
      </c>
      <c r="E337" s="7" t="s">
        <v>54</v>
      </c>
    </row>
    <row r="338" spans="1:5" x14ac:dyDescent="0.35">
      <c r="A338" t="s">
        <v>43</v>
      </c>
      <c r="B338">
        <v>170</v>
      </c>
      <c r="C338" t="str">
        <f>VLOOKUP(A338,'Food Masterdata'!A:C,3,0)</f>
        <v>grams</v>
      </c>
      <c r="D338" s="7">
        <v>46092</v>
      </c>
      <c r="E338" s="7" t="s">
        <v>54</v>
      </c>
    </row>
    <row r="339" spans="1:5" x14ac:dyDescent="0.35">
      <c r="A339" t="s">
        <v>71</v>
      </c>
      <c r="B339">
        <v>10</v>
      </c>
      <c r="C339" t="str">
        <f>VLOOKUP(A339,'Food Masterdata'!A:C,3,0)</f>
        <v>grams</v>
      </c>
      <c r="D339" s="7">
        <v>46092</v>
      </c>
      <c r="E339" s="7" t="s">
        <v>54</v>
      </c>
    </row>
    <row r="340" spans="1:5" x14ac:dyDescent="0.35">
      <c r="A340" t="s">
        <v>58</v>
      </c>
      <c r="B340">
        <v>591</v>
      </c>
      <c r="C340" t="str">
        <f>VLOOKUP(A340,'Food Masterdata'!A:C,3,0)</f>
        <v>grams</v>
      </c>
      <c r="D340" s="7">
        <v>46092</v>
      </c>
      <c r="E340" s="7" t="s">
        <v>61</v>
      </c>
    </row>
    <row r="341" spans="1:5" x14ac:dyDescent="0.35">
      <c r="A341" t="s">
        <v>56</v>
      </c>
      <c r="B341">
        <v>100</v>
      </c>
      <c r="C341" t="str">
        <f>VLOOKUP(A341,'Food Masterdata'!A:C,3,0)</f>
        <v>grams</v>
      </c>
      <c r="D341" s="7">
        <v>46092</v>
      </c>
      <c r="E341" s="7" t="s">
        <v>63</v>
      </c>
    </row>
    <row r="342" spans="1:5" x14ac:dyDescent="0.35">
      <c r="A342" t="s">
        <v>72</v>
      </c>
      <c r="B342">
        <v>85</v>
      </c>
      <c r="C342" t="str">
        <f>VLOOKUP(A342,'Food Masterdata'!A:C,3,0)</f>
        <v>grams</v>
      </c>
      <c r="D342" s="7">
        <v>46092</v>
      </c>
      <c r="E342" s="7" t="s">
        <v>63</v>
      </c>
    </row>
    <row r="343" spans="1:5" x14ac:dyDescent="0.35">
      <c r="A343" t="s">
        <v>123</v>
      </c>
      <c r="B343">
        <v>145</v>
      </c>
      <c r="C343" t="str">
        <f>VLOOKUP(A343,'Food Masterdata'!A:C,3,0)</f>
        <v>grams</v>
      </c>
      <c r="D343" s="7">
        <v>46092</v>
      </c>
      <c r="E343" s="7" t="s">
        <v>63</v>
      </c>
    </row>
    <row r="344" spans="1:5" x14ac:dyDescent="0.35">
      <c r="A344" t="s">
        <v>77</v>
      </c>
      <c r="B344">
        <v>85</v>
      </c>
      <c r="C344" t="str">
        <f>VLOOKUP(A344,'Food Masterdata'!A:C,3,0)</f>
        <v>grams</v>
      </c>
      <c r="D344" s="7">
        <v>46092</v>
      </c>
      <c r="E344" s="7" t="s">
        <v>63</v>
      </c>
    </row>
    <row r="345" spans="1:5" x14ac:dyDescent="0.35">
      <c r="A345" t="s">
        <v>62</v>
      </c>
      <c r="B345">
        <v>9</v>
      </c>
      <c r="C345" t="str">
        <f>VLOOKUP(A345,'Food Masterdata'!A:C,3,0)</f>
        <v>grams</v>
      </c>
      <c r="D345" s="7">
        <v>46092</v>
      </c>
      <c r="E345" s="7" t="s">
        <v>74</v>
      </c>
    </row>
    <row r="346" spans="1:5" x14ac:dyDescent="0.35">
      <c r="A346" t="s">
        <v>121</v>
      </c>
      <c r="B346">
        <v>48</v>
      </c>
      <c r="C346" t="str">
        <f>VLOOKUP(A346,'Food Masterdata'!A:C,3,0)</f>
        <v>grams</v>
      </c>
      <c r="D346" s="7">
        <v>46092</v>
      </c>
      <c r="E346" s="7" t="s">
        <v>74</v>
      </c>
    </row>
    <row r="347" spans="1:5" x14ac:dyDescent="0.35">
      <c r="A347" t="s">
        <v>67</v>
      </c>
      <c r="B347">
        <v>120</v>
      </c>
      <c r="C347" t="str">
        <f>VLOOKUP(A347,'Food Masterdata'!A:C,3,0)</f>
        <v>grams</v>
      </c>
      <c r="D347" s="7">
        <v>46092</v>
      </c>
      <c r="E347" s="7" t="s">
        <v>74</v>
      </c>
    </row>
    <row r="348" spans="1:5" x14ac:dyDescent="0.35">
      <c r="A348" t="s">
        <v>57</v>
      </c>
      <c r="B348">
        <v>43</v>
      </c>
      <c r="C348" t="str">
        <f>VLOOKUP(A348,'Food Masterdata'!A:C,3,0)</f>
        <v>grams</v>
      </c>
      <c r="D348" s="7">
        <v>46093</v>
      </c>
      <c r="E348" s="7" t="s">
        <v>54</v>
      </c>
    </row>
    <row r="349" spans="1:5" x14ac:dyDescent="0.35">
      <c r="A349" t="s">
        <v>99</v>
      </c>
      <c r="B349">
        <v>8</v>
      </c>
      <c r="C349" t="str">
        <f>VLOOKUP(A349,'Food Masterdata'!A:C,3,0)</f>
        <v>grams</v>
      </c>
      <c r="D349" s="7">
        <v>46093</v>
      </c>
      <c r="E349" s="7" t="s">
        <v>54</v>
      </c>
    </row>
    <row r="350" spans="1:5" x14ac:dyDescent="0.35">
      <c r="A350" t="s">
        <v>71</v>
      </c>
      <c r="B350">
        <v>20</v>
      </c>
      <c r="C350" t="str">
        <f>VLOOKUP(A350,'Food Masterdata'!A:C,3,0)</f>
        <v>grams</v>
      </c>
      <c r="D350" s="7">
        <v>46093</v>
      </c>
      <c r="E350" s="7" t="s">
        <v>54</v>
      </c>
    </row>
    <row r="351" spans="1:5" x14ac:dyDescent="0.35">
      <c r="A351" t="s">
        <v>123</v>
      </c>
      <c r="B351">
        <v>113</v>
      </c>
      <c r="C351" t="str">
        <f>VLOOKUP(A351,'Food Masterdata'!A:C,3,0)</f>
        <v>grams</v>
      </c>
      <c r="D351" s="7">
        <v>46093</v>
      </c>
      <c r="E351" s="7" t="s">
        <v>54</v>
      </c>
    </row>
    <row r="352" spans="1:5" x14ac:dyDescent="0.35">
      <c r="A352" t="s">
        <v>58</v>
      </c>
      <c r="B352">
        <v>455</v>
      </c>
      <c r="C352" t="str">
        <f>VLOOKUP(A352,'Food Masterdata'!A:C,3,0)</f>
        <v>grams</v>
      </c>
      <c r="D352" s="7">
        <v>46093</v>
      </c>
      <c r="E352" s="7" t="s">
        <v>61</v>
      </c>
    </row>
    <row r="353" spans="1:5" x14ac:dyDescent="0.35">
      <c r="A353" t="s">
        <v>131</v>
      </c>
      <c r="B353">
        <v>500</v>
      </c>
      <c r="C353" t="str">
        <f>VLOOKUP(A353,'Food Masterdata'!A:C,3,0)</f>
        <v>grams</v>
      </c>
      <c r="D353" s="7">
        <v>46093</v>
      </c>
      <c r="E353" s="7" t="s">
        <v>61</v>
      </c>
    </row>
    <row r="354" spans="1:5" x14ac:dyDescent="0.35">
      <c r="A354" t="s">
        <v>62</v>
      </c>
      <c r="B354">
        <v>9</v>
      </c>
      <c r="C354" t="str">
        <f>VLOOKUP(A354,'Food Masterdata'!A:C,3,0)</f>
        <v>grams</v>
      </c>
      <c r="D354" s="7">
        <v>46093</v>
      </c>
      <c r="E354" s="7" t="s">
        <v>63</v>
      </c>
    </row>
    <row r="355" spans="1:5" x14ac:dyDescent="0.35">
      <c r="A355" t="s">
        <v>81</v>
      </c>
      <c r="B355">
        <v>110</v>
      </c>
      <c r="C355" t="str">
        <f>VLOOKUP(A355,'Food Masterdata'!A:C,3,0)</f>
        <v>grams</v>
      </c>
      <c r="D355" s="7">
        <v>46093</v>
      </c>
      <c r="E355" s="7" t="s">
        <v>63</v>
      </c>
    </row>
    <row r="356" spans="1:5" x14ac:dyDescent="0.35">
      <c r="A356" t="s">
        <v>67</v>
      </c>
      <c r="B356">
        <v>120</v>
      </c>
      <c r="C356" t="str">
        <f>VLOOKUP(A356,'Food Masterdata'!A:C,3,0)</f>
        <v>grams</v>
      </c>
      <c r="D356" s="7">
        <v>46093</v>
      </c>
      <c r="E356" s="7" t="s">
        <v>63</v>
      </c>
    </row>
    <row r="357" spans="1:5" x14ac:dyDescent="0.35">
      <c r="A357" t="s">
        <v>69</v>
      </c>
      <c r="B357">
        <v>1</v>
      </c>
      <c r="C357" t="str">
        <f>VLOOKUP(A357,'Food Masterdata'!A:C,3,0)</f>
        <v>can</v>
      </c>
      <c r="D357" s="7">
        <v>46093</v>
      </c>
      <c r="E357" s="7" t="s">
        <v>63</v>
      </c>
    </row>
    <row r="358" spans="1:5" x14ac:dyDescent="0.35">
      <c r="A358" t="s">
        <v>69</v>
      </c>
      <c r="B358">
        <v>1</v>
      </c>
      <c r="C358" t="str">
        <f>VLOOKUP(A358,'Food Masterdata'!A:C,3,0)</f>
        <v>can</v>
      </c>
      <c r="D358" s="7">
        <v>46094</v>
      </c>
      <c r="E358" s="7" t="s">
        <v>54</v>
      </c>
    </row>
    <row r="359" spans="1:5" x14ac:dyDescent="0.35">
      <c r="A359" t="s">
        <v>57</v>
      </c>
      <c r="B359">
        <v>54</v>
      </c>
      <c r="C359" t="str">
        <f>VLOOKUP(A359,'Food Masterdata'!A:C,3,0)</f>
        <v>grams</v>
      </c>
      <c r="D359" s="7">
        <v>46094</v>
      </c>
      <c r="E359" s="7" t="s">
        <v>54</v>
      </c>
    </row>
    <row r="360" spans="1:5" x14ac:dyDescent="0.35">
      <c r="A360" t="s">
        <v>99</v>
      </c>
      <c r="B360">
        <v>6</v>
      </c>
      <c r="C360" t="str">
        <f>VLOOKUP(A360,'Food Masterdata'!A:C,3,0)</f>
        <v>grams</v>
      </c>
      <c r="D360" s="7">
        <v>46094</v>
      </c>
      <c r="E360" s="7" t="s">
        <v>54</v>
      </c>
    </row>
    <row r="361" spans="1:5" x14ac:dyDescent="0.35">
      <c r="A361" t="s">
        <v>71</v>
      </c>
      <c r="B361">
        <v>20</v>
      </c>
      <c r="C361" t="str">
        <f>VLOOKUP(A361,'Food Masterdata'!A:C,3,0)</f>
        <v>grams</v>
      </c>
      <c r="D361" s="7">
        <v>46094</v>
      </c>
      <c r="E361" s="7" t="s">
        <v>54</v>
      </c>
    </row>
    <row r="362" spans="1:5" x14ac:dyDescent="0.35">
      <c r="A362" t="s">
        <v>123</v>
      </c>
      <c r="B362">
        <v>166</v>
      </c>
      <c r="C362" t="str">
        <f>VLOOKUP(A362,'Food Masterdata'!A:C,3,0)</f>
        <v>grams</v>
      </c>
      <c r="D362" s="7">
        <v>46094</v>
      </c>
      <c r="E362" s="7" t="s">
        <v>54</v>
      </c>
    </row>
    <row r="363" spans="1:5" x14ac:dyDescent="0.35">
      <c r="A363" t="s">
        <v>45</v>
      </c>
      <c r="B363">
        <v>45</v>
      </c>
      <c r="C363" t="str">
        <f>VLOOKUP(A363,'Food Masterdata'!A:C,3,0)</f>
        <v>grams</v>
      </c>
      <c r="D363" s="7">
        <v>46094</v>
      </c>
      <c r="E363" s="7" t="s">
        <v>61</v>
      </c>
    </row>
    <row r="364" spans="1:5" x14ac:dyDescent="0.35">
      <c r="A364" t="s">
        <v>62</v>
      </c>
      <c r="B364">
        <v>12</v>
      </c>
      <c r="C364" t="str">
        <f>VLOOKUP(A364,'Food Masterdata'!A:C,3,0)</f>
        <v>grams</v>
      </c>
      <c r="D364" s="7">
        <v>46094</v>
      </c>
      <c r="E364" s="7" t="s">
        <v>61</v>
      </c>
    </row>
    <row r="365" spans="1:5" x14ac:dyDescent="0.35">
      <c r="A365" t="s">
        <v>121</v>
      </c>
      <c r="B365">
        <v>53</v>
      </c>
      <c r="C365" t="str">
        <f>VLOOKUP(A365,'Food Masterdata'!A:C,3,0)</f>
        <v>grams</v>
      </c>
      <c r="D365" s="7">
        <v>46094</v>
      </c>
      <c r="E365" s="7" t="s">
        <v>61</v>
      </c>
    </row>
    <row r="366" spans="1:5" x14ac:dyDescent="0.35">
      <c r="A366" t="s">
        <v>46</v>
      </c>
      <c r="B366">
        <v>5</v>
      </c>
      <c r="C366" t="str">
        <f>VLOOKUP(A366,'Food Masterdata'!A:C,3,0)</f>
        <v>egg</v>
      </c>
      <c r="D366" s="7">
        <v>46094</v>
      </c>
      <c r="E366" s="7" t="s">
        <v>63</v>
      </c>
    </row>
    <row r="367" spans="1:5" x14ac:dyDescent="0.35">
      <c r="A367" t="s">
        <v>128</v>
      </c>
      <c r="B367">
        <v>75</v>
      </c>
      <c r="C367" t="str">
        <f>VLOOKUP(A367,'Food Masterdata'!A:C,3,0)</f>
        <v>grams</v>
      </c>
      <c r="D367" s="7">
        <v>46094</v>
      </c>
      <c r="E367" s="7" t="s">
        <v>63</v>
      </c>
    </row>
    <row r="368" spans="1:5" x14ac:dyDescent="0.35">
      <c r="A368" t="s">
        <v>132</v>
      </c>
      <c r="B368">
        <v>300</v>
      </c>
      <c r="C368" t="str">
        <f>VLOOKUP(A368,'Food Masterdata'!A:C,3,0)</f>
        <v>grams</v>
      </c>
      <c r="D368" s="7">
        <v>46094</v>
      </c>
      <c r="E368" s="7" t="s">
        <v>74</v>
      </c>
    </row>
    <row r="369" spans="1:5" x14ac:dyDescent="0.35">
      <c r="A369" t="s">
        <v>69</v>
      </c>
      <c r="B369">
        <v>1</v>
      </c>
      <c r="C369" t="str">
        <f>VLOOKUP(A369,'Food Masterdata'!A:C,3,0)</f>
        <v>can</v>
      </c>
      <c r="D369" s="7">
        <v>46095</v>
      </c>
      <c r="E369" s="7" t="s">
        <v>54</v>
      </c>
    </row>
    <row r="370" spans="1:5" x14ac:dyDescent="0.35">
      <c r="A370" t="s">
        <v>25</v>
      </c>
      <c r="B370">
        <v>225</v>
      </c>
      <c r="C370" t="str">
        <f>VLOOKUP(A370,'Food Masterdata'!A:C,3,0)</f>
        <v>grams</v>
      </c>
      <c r="D370" s="7">
        <v>46095</v>
      </c>
      <c r="E370" s="7" t="s">
        <v>54</v>
      </c>
    </row>
    <row r="371" spans="1:5" x14ac:dyDescent="0.35">
      <c r="A371" t="s">
        <v>43</v>
      </c>
      <c r="B371">
        <v>170</v>
      </c>
      <c r="C371" t="str">
        <f>VLOOKUP(A371,'Food Masterdata'!A:C,3,0)</f>
        <v>grams</v>
      </c>
      <c r="D371" s="7">
        <v>46095</v>
      </c>
      <c r="E371" s="7" t="s">
        <v>54</v>
      </c>
    </row>
    <row r="372" spans="1:5" x14ac:dyDescent="0.35">
      <c r="A372" t="s">
        <v>123</v>
      </c>
      <c r="B372">
        <v>143</v>
      </c>
      <c r="C372" t="str">
        <f>VLOOKUP(A372,'Food Masterdata'!A:C,3,0)</f>
        <v>grams</v>
      </c>
      <c r="D372" s="7">
        <v>46095</v>
      </c>
      <c r="E372" s="7" t="s">
        <v>54</v>
      </c>
    </row>
    <row r="373" spans="1:5" x14ac:dyDescent="0.35">
      <c r="A373" t="s">
        <v>71</v>
      </c>
      <c r="B373">
        <v>10</v>
      </c>
      <c r="C373" t="str">
        <f>VLOOKUP(A373,'Food Masterdata'!A:C,3,0)</f>
        <v>grams</v>
      </c>
      <c r="D373" s="7">
        <v>46095</v>
      </c>
      <c r="E373" s="7" t="s">
        <v>54</v>
      </c>
    </row>
    <row r="374" spans="1:5" x14ac:dyDescent="0.35">
      <c r="A374" t="s">
        <v>46</v>
      </c>
      <c r="B374">
        <v>5</v>
      </c>
      <c r="C374" t="str">
        <f>VLOOKUP(A374,'Food Masterdata'!A:C,3,0)</f>
        <v>egg</v>
      </c>
      <c r="D374" s="7">
        <v>46095</v>
      </c>
      <c r="E374" s="7" t="s">
        <v>61</v>
      </c>
    </row>
    <row r="375" spans="1:5" x14ac:dyDescent="0.35">
      <c r="A375" t="s">
        <v>100</v>
      </c>
      <c r="B375">
        <v>133</v>
      </c>
      <c r="C375" t="str">
        <f>VLOOKUP(A375,'Food Masterdata'!A:C,3,0)</f>
        <v>grams</v>
      </c>
      <c r="D375" s="7">
        <v>46095</v>
      </c>
      <c r="E375" s="7" t="s">
        <v>61</v>
      </c>
    </row>
    <row r="376" spans="1:5" x14ac:dyDescent="0.35">
      <c r="A376" t="s">
        <v>45</v>
      </c>
      <c r="B376">
        <v>21</v>
      </c>
      <c r="C376" t="str">
        <f>VLOOKUP(A376,'Food Masterdata'!A:C,3,0)</f>
        <v>grams</v>
      </c>
      <c r="D376" s="7">
        <v>46095</v>
      </c>
      <c r="E376" s="7" t="s">
        <v>63</v>
      </c>
    </row>
    <row r="377" spans="1:5" x14ac:dyDescent="0.35">
      <c r="A377" t="s">
        <v>122</v>
      </c>
      <c r="B377">
        <v>420</v>
      </c>
      <c r="C377" t="str">
        <f>VLOOKUP(A377,'Food Masterdata'!A:C,3,0)</f>
        <v>grams</v>
      </c>
      <c r="D377" s="7">
        <v>46095</v>
      </c>
      <c r="E377" s="7" t="s">
        <v>63</v>
      </c>
    </row>
    <row r="378" spans="1:5" x14ac:dyDescent="0.35">
      <c r="A378" t="s">
        <v>119</v>
      </c>
      <c r="B378">
        <v>28</v>
      </c>
      <c r="C378" t="str">
        <f>VLOOKUP(A378,'Food Masterdata'!A:C,3,0)</f>
        <v>grams</v>
      </c>
      <c r="D378" s="7">
        <v>46095</v>
      </c>
      <c r="E378" s="7" t="s">
        <v>63</v>
      </c>
    </row>
    <row r="379" spans="1:5" x14ac:dyDescent="0.35">
      <c r="A379" t="s">
        <v>60</v>
      </c>
      <c r="B379">
        <v>30</v>
      </c>
      <c r="C379" t="str">
        <f>VLOOKUP(A379,'Food Masterdata'!A:C,3,0)</f>
        <v>grams</v>
      </c>
      <c r="D379" s="7">
        <v>46095</v>
      </c>
      <c r="E379" s="7" t="s">
        <v>63</v>
      </c>
    </row>
    <row r="380" spans="1:5" x14ac:dyDescent="0.35">
      <c r="A380" t="s">
        <v>67</v>
      </c>
      <c r="B380">
        <v>120</v>
      </c>
      <c r="C380" t="str">
        <f>VLOOKUP(A380,'Food Masterdata'!A:C,3,0)</f>
        <v>grams</v>
      </c>
      <c r="D380" s="7">
        <v>46095</v>
      </c>
      <c r="E380" s="7" t="s">
        <v>63</v>
      </c>
    </row>
    <row r="381" spans="1:5" x14ac:dyDescent="0.35">
      <c r="A381" t="s">
        <v>25</v>
      </c>
      <c r="B381">
        <v>225</v>
      </c>
      <c r="C381" t="str">
        <f>VLOOKUP(A381,'Food Masterdata'!A:C,3,0)</f>
        <v>grams</v>
      </c>
      <c r="D381" s="7">
        <v>46096</v>
      </c>
      <c r="E381" s="7" t="s">
        <v>54</v>
      </c>
    </row>
    <row r="382" spans="1:5" x14ac:dyDescent="0.35">
      <c r="A382" t="s">
        <v>43</v>
      </c>
      <c r="B382">
        <v>170</v>
      </c>
      <c r="C382" t="str">
        <f>VLOOKUP(A382,'Food Masterdata'!A:C,3,0)</f>
        <v>grams</v>
      </c>
      <c r="D382" s="7">
        <v>46096</v>
      </c>
      <c r="E382" s="7" t="s">
        <v>54</v>
      </c>
    </row>
    <row r="383" spans="1:5" x14ac:dyDescent="0.35">
      <c r="A383" t="s">
        <v>123</v>
      </c>
      <c r="B383">
        <v>99</v>
      </c>
      <c r="C383" t="str">
        <f>VLOOKUP(A383,'Food Masterdata'!A:C,3,0)</f>
        <v>grams</v>
      </c>
      <c r="D383" s="7">
        <v>46096</v>
      </c>
      <c r="E383" s="7" t="s">
        <v>54</v>
      </c>
    </row>
    <row r="384" spans="1:5" x14ac:dyDescent="0.35">
      <c r="A384" t="s">
        <v>100</v>
      </c>
      <c r="B384">
        <v>103</v>
      </c>
      <c r="C384" t="str">
        <f>VLOOKUP(A384,'Food Masterdata'!A:C,3,0)</f>
        <v>grams</v>
      </c>
      <c r="D384" s="7">
        <v>46096</v>
      </c>
      <c r="E384" s="7" t="s">
        <v>54</v>
      </c>
    </row>
    <row r="385" spans="1:5" x14ac:dyDescent="0.35">
      <c r="A385" t="s">
        <v>80</v>
      </c>
      <c r="B385">
        <v>450</v>
      </c>
      <c r="C385" t="str">
        <f>VLOOKUP(A385,'Food Masterdata'!A:C,3,0)</f>
        <v>grams</v>
      </c>
      <c r="D385" s="7">
        <v>46096</v>
      </c>
      <c r="E385" s="7" t="s">
        <v>61</v>
      </c>
    </row>
    <row r="386" spans="1:5" x14ac:dyDescent="0.35">
      <c r="A386" t="s">
        <v>62</v>
      </c>
      <c r="B386">
        <v>9</v>
      </c>
      <c r="C386" t="str">
        <f>VLOOKUP(A386,'Food Masterdata'!A:C,3,0)</f>
        <v>grams</v>
      </c>
      <c r="D386" s="7">
        <v>46096</v>
      </c>
      <c r="E386" s="7" t="s">
        <v>63</v>
      </c>
    </row>
    <row r="387" spans="1:5" x14ac:dyDescent="0.35">
      <c r="A387" t="s">
        <v>45</v>
      </c>
      <c r="B387">
        <v>13</v>
      </c>
      <c r="C387" t="str">
        <f>VLOOKUP(A387,'Food Masterdata'!A:C,3,0)</f>
        <v>grams</v>
      </c>
      <c r="D387" s="7">
        <v>46096</v>
      </c>
      <c r="E387" s="7" t="s">
        <v>63</v>
      </c>
    </row>
    <row r="388" spans="1:5" x14ac:dyDescent="0.35">
      <c r="A388" t="s">
        <v>121</v>
      </c>
      <c r="B388">
        <v>51</v>
      </c>
      <c r="C388" t="str">
        <f>VLOOKUP(A388,'Food Masterdata'!A:C,3,0)</f>
        <v>grams</v>
      </c>
      <c r="D388" s="7">
        <v>46096</v>
      </c>
      <c r="E388" s="7" t="s">
        <v>63</v>
      </c>
    </row>
    <row r="389" spans="1:5" x14ac:dyDescent="0.35">
      <c r="A389" t="s">
        <v>67</v>
      </c>
      <c r="B389">
        <v>120</v>
      </c>
      <c r="C389" t="str">
        <f>VLOOKUP(A389,'Food Masterdata'!A:C,3,0)</f>
        <v>grams</v>
      </c>
      <c r="D389" s="7">
        <v>46096</v>
      </c>
      <c r="E389" s="7" t="s">
        <v>63</v>
      </c>
    </row>
    <row r="390" spans="1:5" x14ac:dyDescent="0.35">
      <c r="A390" t="s">
        <v>57</v>
      </c>
      <c r="B390">
        <v>54</v>
      </c>
      <c r="C390" t="str">
        <f>VLOOKUP(A390,'Food Masterdata'!A:C,3,0)</f>
        <v>grams</v>
      </c>
      <c r="D390" s="7">
        <v>46097</v>
      </c>
      <c r="E390" s="7" t="s">
        <v>54</v>
      </c>
    </row>
    <row r="391" spans="1:5" x14ac:dyDescent="0.35">
      <c r="A391" t="s">
        <v>99</v>
      </c>
      <c r="B391">
        <v>9</v>
      </c>
      <c r="C391" t="str">
        <f>VLOOKUP(A391,'Food Masterdata'!A:C,3,0)</f>
        <v>grams</v>
      </c>
      <c r="D391" s="7">
        <v>46097</v>
      </c>
      <c r="E391" s="7" t="s">
        <v>54</v>
      </c>
    </row>
    <row r="392" spans="1:5" x14ac:dyDescent="0.35">
      <c r="A392" t="s">
        <v>58</v>
      </c>
      <c r="B392">
        <v>555</v>
      </c>
      <c r="C392" t="str">
        <f>VLOOKUP(A392,'Food Masterdata'!A:C,3,0)</f>
        <v>grams</v>
      </c>
      <c r="D392" s="7">
        <v>46097</v>
      </c>
      <c r="E392" s="7" t="s">
        <v>61</v>
      </c>
    </row>
    <row r="393" spans="1:5" x14ac:dyDescent="0.35">
      <c r="A393" t="s">
        <v>60</v>
      </c>
      <c r="B393">
        <v>53</v>
      </c>
      <c r="C393" t="str">
        <f>VLOOKUP(A393,'Food Masterdata'!A:C,3,0)</f>
        <v>grams</v>
      </c>
      <c r="D393" s="7">
        <v>46097</v>
      </c>
      <c r="E393" s="7" t="s">
        <v>61</v>
      </c>
    </row>
    <row r="394" spans="1:5" x14ac:dyDescent="0.35">
      <c r="A394" t="s">
        <v>67</v>
      </c>
      <c r="B394">
        <v>120</v>
      </c>
      <c r="C394" t="str">
        <f>VLOOKUP(A394,'Food Masterdata'!A:C,3,0)</f>
        <v>grams</v>
      </c>
      <c r="D394" s="7">
        <v>46097</v>
      </c>
      <c r="E394" s="7" t="s">
        <v>63</v>
      </c>
    </row>
    <row r="395" spans="1:5" x14ac:dyDescent="0.35">
      <c r="A395" t="s">
        <v>69</v>
      </c>
      <c r="B395">
        <v>1</v>
      </c>
      <c r="C395" t="str">
        <f>VLOOKUP(A395,'Food Masterdata'!A:C,3,0)</f>
        <v>can</v>
      </c>
      <c r="D395" s="7">
        <v>46097</v>
      </c>
      <c r="E395" s="7" t="s">
        <v>63</v>
      </c>
    </row>
    <row r="396" spans="1:5" x14ac:dyDescent="0.35">
      <c r="A396" t="s">
        <v>55</v>
      </c>
      <c r="B396">
        <v>90</v>
      </c>
      <c r="C396" t="str">
        <f>VLOOKUP(A396,'Food Masterdata'!A:C,3,0)</f>
        <v>grams</v>
      </c>
      <c r="D396" s="7">
        <v>46098</v>
      </c>
      <c r="E396" s="7" t="s">
        <v>54</v>
      </c>
    </row>
    <row r="397" spans="1:5" x14ac:dyDescent="0.35">
      <c r="A397" t="s">
        <v>123</v>
      </c>
      <c r="B397">
        <v>250</v>
      </c>
      <c r="C397" t="str">
        <f>VLOOKUP(A397,'Food Masterdata'!A:C,3,0)</f>
        <v>grams</v>
      </c>
      <c r="D397" s="7">
        <v>46098</v>
      </c>
      <c r="E397" s="7" t="s">
        <v>54</v>
      </c>
    </row>
    <row r="398" spans="1:5" x14ac:dyDescent="0.35">
      <c r="A398" t="s">
        <v>46</v>
      </c>
      <c r="B398">
        <v>5</v>
      </c>
      <c r="C398" t="str">
        <f>VLOOKUP(A398,'Food Masterdata'!A:C,3,0)</f>
        <v>egg</v>
      </c>
      <c r="D398" s="7">
        <v>46098</v>
      </c>
      <c r="E398" s="7" t="s">
        <v>61</v>
      </c>
    </row>
    <row r="399" spans="1:5" x14ac:dyDescent="0.35">
      <c r="A399" t="s">
        <v>45</v>
      </c>
      <c r="B399">
        <v>21</v>
      </c>
      <c r="C399" t="str">
        <f>VLOOKUP(A399,'Food Masterdata'!A:C,3,0)</f>
        <v>grams</v>
      </c>
      <c r="D399" s="7">
        <v>46098</v>
      </c>
      <c r="E399" s="7" t="s">
        <v>61</v>
      </c>
    </row>
    <row r="400" spans="1:5" x14ac:dyDescent="0.35">
      <c r="A400" t="s">
        <v>58</v>
      </c>
      <c r="B400">
        <v>586</v>
      </c>
      <c r="C400" t="str">
        <f>VLOOKUP(A400,'Food Masterdata'!A:C,3,0)</f>
        <v>grams</v>
      </c>
      <c r="D400" s="7">
        <v>46098</v>
      </c>
      <c r="E400" s="7" t="s">
        <v>63</v>
      </c>
    </row>
    <row r="401" spans="1:5" x14ac:dyDescent="0.35">
      <c r="A401" t="s">
        <v>119</v>
      </c>
      <c r="B401">
        <v>54</v>
      </c>
      <c r="C401" t="str">
        <f>VLOOKUP(A401,'Food Masterdata'!A:C,3,0)</f>
        <v>grams</v>
      </c>
      <c r="D401" s="7">
        <v>46098</v>
      </c>
      <c r="E401" s="7" t="s">
        <v>74</v>
      </c>
    </row>
    <row r="402" spans="1:5" x14ac:dyDescent="0.35">
      <c r="A402" t="s">
        <v>62</v>
      </c>
      <c r="B402">
        <v>11</v>
      </c>
      <c r="C402" t="str">
        <f>VLOOKUP(A402,'Food Masterdata'!A:C,3,0)</f>
        <v>grams</v>
      </c>
      <c r="D402" s="7">
        <v>46098</v>
      </c>
      <c r="E402" s="7" t="s">
        <v>74</v>
      </c>
    </row>
    <row r="403" spans="1:5" x14ac:dyDescent="0.35">
      <c r="A403" t="s">
        <v>132</v>
      </c>
      <c r="B403">
        <v>125</v>
      </c>
      <c r="C403" t="str">
        <f>VLOOKUP(A403,'Food Masterdata'!A:C,3,0)</f>
        <v>grams</v>
      </c>
      <c r="D403" s="7">
        <v>46098</v>
      </c>
      <c r="E403" s="7" t="s">
        <v>74</v>
      </c>
    </row>
    <row r="404" spans="1:5" x14ac:dyDescent="0.35">
      <c r="A404" t="s">
        <v>122</v>
      </c>
      <c r="B404">
        <v>420</v>
      </c>
      <c r="C404" t="str">
        <f>VLOOKUP(A404,'Food Masterdata'!A:C,3,0)</f>
        <v>grams</v>
      </c>
      <c r="D404" s="7">
        <v>46098</v>
      </c>
      <c r="E404" s="7" t="s">
        <v>74</v>
      </c>
    </row>
    <row r="405" spans="1:5" x14ac:dyDescent="0.35">
      <c r="A405" t="s">
        <v>69</v>
      </c>
      <c r="B405">
        <v>2</v>
      </c>
      <c r="C405" t="str">
        <f>VLOOKUP(A405,'Food Masterdata'!A:C,3,0)</f>
        <v>can</v>
      </c>
      <c r="D405" s="7">
        <v>46098</v>
      </c>
      <c r="E405" s="7" t="s">
        <v>74</v>
      </c>
    </row>
    <row r="406" spans="1:5" x14ac:dyDescent="0.35">
      <c r="A406" t="s">
        <v>123</v>
      </c>
      <c r="B406">
        <v>215</v>
      </c>
      <c r="C406" t="str">
        <f>VLOOKUP(A406,'Food Masterdata'!A:C,3,0)</f>
        <v>grams</v>
      </c>
      <c r="D406" s="7">
        <v>46099</v>
      </c>
      <c r="E406" s="7" t="s">
        <v>54</v>
      </c>
    </row>
    <row r="407" spans="1:5" x14ac:dyDescent="0.35">
      <c r="A407" t="s">
        <v>57</v>
      </c>
      <c r="B407">
        <v>50</v>
      </c>
      <c r="C407" t="str">
        <f>VLOOKUP(A407,'Food Masterdata'!A:C,3,0)</f>
        <v>grams</v>
      </c>
      <c r="D407" s="7">
        <v>46099</v>
      </c>
      <c r="E407" s="7" t="s">
        <v>54</v>
      </c>
    </row>
    <row r="408" spans="1:5" x14ac:dyDescent="0.35">
      <c r="A408" t="s">
        <v>99</v>
      </c>
      <c r="B408">
        <v>9</v>
      </c>
      <c r="C408" t="str">
        <f>VLOOKUP(A408,'Food Masterdata'!A:C,3,0)</f>
        <v>grams</v>
      </c>
      <c r="D408" s="7">
        <v>46099</v>
      </c>
      <c r="E408" s="7" t="s">
        <v>54</v>
      </c>
    </row>
    <row r="409" spans="1:5" x14ac:dyDescent="0.35">
      <c r="A409" t="s">
        <v>69</v>
      </c>
      <c r="B409">
        <v>2</v>
      </c>
      <c r="C409" t="str">
        <f>VLOOKUP(A409,'Food Masterdata'!A:C,3,0)</f>
        <v>can</v>
      </c>
      <c r="D409" s="7">
        <v>46099</v>
      </c>
      <c r="E409" s="7" t="s">
        <v>54</v>
      </c>
    </row>
    <row r="410" spans="1:5" x14ac:dyDescent="0.35">
      <c r="A410" t="s">
        <v>46</v>
      </c>
      <c r="B410">
        <v>5</v>
      </c>
      <c r="C410" t="str">
        <f>VLOOKUP(A410,'Food Masterdata'!A:C,3,0)</f>
        <v>egg</v>
      </c>
      <c r="D410" s="7">
        <v>46099</v>
      </c>
      <c r="E410" s="7" t="s">
        <v>61</v>
      </c>
    </row>
    <row r="411" spans="1:5" x14ac:dyDescent="0.35">
      <c r="A411" t="s">
        <v>62</v>
      </c>
      <c r="B411">
        <v>10</v>
      </c>
      <c r="C411" t="str">
        <f>VLOOKUP(A411,'Food Masterdata'!A:C,3,0)</f>
        <v>grams</v>
      </c>
      <c r="D411" s="7">
        <v>46099</v>
      </c>
      <c r="E411" s="7" t="s">
        <v>61</v>
      </c>
    </row>
    <row r="412" spans="1:5" x14ac:dyDescent="0.35">
      <c r="A412" t="s">
        <v>121</v>
      </c>
      <c r="B412">
        <v>49</v>
      </c>
      <c r="C412" t="str">
        <f>VLOOKUP(A412,'Food Masterdata'!A:C,3,0)</f>
        <v>grams</v>
      </c>
      <c r="D412" s="7">
        <v>46099</v>
      </c>
      <c r="E412" s="7" t="s">
        <v>61</v>
      </c>
    </row>
    <row r="413" spans="1:5" x14ac:dyDescent="0.35">
      <c r="A413" t="s">
        <v>133</v>
      </c>
      <c r="B413">
        <v>86</v>
      </c>
      <c r="C413" t="str">
        <f>VLOOKUP(A413,'Food Masterdata'!A:C,3,0)</f>
        <v>grams</v>
      </c>
      <c r="D413" s="7">
        <v>46099</v>
      </c>
      <c r="E413" s="7" t="s">
        <v>61</v>
      </c>
    </row>
    <row r="414" spans="1:5" x14ac:dyDescent="0.35">
      <c r="A414" t="s">
        <v>69</v>
      </c>
      <c r="B414">
        <v>1</v>
      </c>
      <c r="C414" t="str">
        <f>VLOOKUP(A414,'Food Masterdata'!A:C,3,0)</f>
        <v>can</v>
      </c>
      <c r="D414" s="7">
        <v>46100</v>
      </c>
      <c r="E414" s="7" t="s">
        <v>54</v>
      </c>
    </row>
    <row r="415" spans="1:5" x14ac:dyDescent="0.35">
      <c r="A415" t="s">
        <v>67</v>
      </c>
      <c r="B415">
        <v>240</v>
      </c>
      <c r="C415" t="str">
        <f>VLOOKUP(A415,'Food Masterdata'!A:C,3,0)</f>
        <v>grams</v>
      </c>
      <c r="D415" s="7">
        <v>46100</v>
      </c>
      <c r="E415" s="7" t="s">
        <v>54</v>
      </c>
    </row>
    <row r="416" spans="1:5" x14ac:dyDescent="0.35">
      <c r="A416" t="s">
        <v>58</v>
      </c>
      <c r="B416">
        <v>524</v>
      </c>
      <c r="C416" t="str">
        <f>VLOOKUP(A416,'Food Masterdata'!A:C,3,0)</f>
        <v>grams</v>
      </c>
      <c r="D416" s="7">
        <v>46100</v>
      </c>
      <c r="E416" s="7" t="s">
        <v>61</v>
      </c>
    </row>
    <row r="417" spans="1:5" x14ac:dyDescent="0.35">
      <c r="A417" t="s">
        <v>123</v>
      </c>
      <c r="B417">
        <v>82</v>
      </c>
      <c r="C417" t="str">
        <f>VLOOKUP(A417,'Food Masterdata'!A:C,3,0)</f>
        <v>grams</v>
      </c>
      <c r="D417" s="7">
        <v>46100</v>
      </c>
      <c r="E417" s="7" t="s">
        <v>63</v>
      </c>
    </row>
    <row r="418" spans="1:5" x14ac:dyDescent="0.35">
      <c r="A418" t="s">
        <v>133</v>
      </c>
      <c r="B418">
        <v>121</v>
      </c>
      <c r="C418" t="str">
        <f>VLOOKUP(A418,'Food Masterdata'!A:C,3,0)</f>
        <v>grams</v>
      </c>
      <c r="D418" s="7">
        <v>46100</v>
      </c>
      <c r="E418" s="7" t="s">
        <v>63</v>
      </c>
    </row>
    <row r="419" spans="1:5" x14ac:dyDescent="0.35">
      <c r="A419" t="s">
        <v>134</v>
      </c>
      <c r="B419">
        <v>100</v>
      </c>
      <c r="C419" t="str">
        <f>VLOOKUP(A419,'Food Masterdata'!A:C,3,0)</f>
        <v>grams</v>
      </c>
      <c r="D419" s="7">
        <v>46100</v>
      </c>
      <c r="E419" s="7" t="s">
        <v>63</v>
      </c>
    </row>
    <row r="420" spans="1:5" x14ac:dyDescent="0.35">
      <c r="A420" t="s">
        <v>60</v>
      </c>
      <c r="B420">
        <v>57</v>
      </c>
      <c r="C420" t="str">
        <f>VLOOKUP(A420,'Food Masterdata'!A:C,3,0)</f>
        <v>grams</v>
      </c>
      <c r="D420" s="7">
        <v>46100</v>
      </c>
      <c r="E420" s="7" t="s">
        <v>74</v>
      </c>
    </row>
    <row r="421" spans="1:5" x14ac:dyDescent="0.35">
      <c r="A421" t="s">
        <v>45</v>
      </c>
      <c r="B421">
        <v>20</v>
      </c>
      <c r="C421" t="str">
        <f>VLOOKUP(A421,'Food Masterdata'!A:C,3,0)</f>
        <v>grams</v>
      </c>
      <c r="D421" s="7">
        <v>46100</v>
      </c>
      <c r="E421" s="7" t="s">
        <v>74</v>
      </c>
    </row>
    <row r="422" spans="1:5" x14ac:dyDescent="0.35">
      <c r="A422" t="s">
        <v>69</v>
      </c>
      <c r="B422">
        <v>1</v>
      </c>
      <c r="C422" t="str">
        <f>VLOOKUP(A422,'Food Masterdata'!A:C,3,0)</f>
        <v>can</v>
      </c>
      <c r="D422" s="7">
        <v>46101</v>
      </c>
      <c r="E422" s="7" t="s">
        <v>54</v>
      </c>
    </row>
    <row r="423" spans="1:5" x14ac:dyDescent="0.35">
      <c r="A423" t="s">
        <v>132</v>
      </c>
      <c r="B423">
        <v>150</v>
      </c>
      <c r="C423" t="str">
        <f>VLOOKUP(A423,'Food Masterdata'!A:C,3,0)</f>
        <v>grams</v>
      </c>
      <c r="D423" s="7">
        <v>46101</v>
      </c>
      <c r="E423" s="7" t="s">
        <v>54</v>
      </c>
    </row>
    <row r="424" spans="1:5" x14ac:dyDescent="0.35">
      <c r="A424" t="s">
        <v>43</v>
      </c>
      <c r="B424">
        <v>170</v>
      </c>
      <c r="C424" t="str">
        <f>VLOOKUP(A424,'Food Masterdata'!A:C,3,0)</f>
        <v>grams</v>
      </c>
      <c r="D424" s="7">
        <v>46101</v>
      </c>
      <c r="E424" s="7" t="s">
        <v>54</v>
      </c>
    </row>
    <row r="425" spans="1:5" x14ac:dyDescent="0.35">
      <c r="A425" t="s">
        <v>123</v>
      </c>
      <c r="B425">
        <v>134</v>
      </c>
      <c r="C425" t="str">
        <f>VLOOKUP(A425,'Food Masterdata'!A:C,3,0)</f>
        <v>grams</v>
      </c>
      <c r="D425" s="7">
        <v>46101</v>
      </c>
      <c r="E425" s="7" t="s">
        <v>54</v>
      </c>
    </row>
    <row r="426" spans="1:5" x14ac:dyDescent="0.35">
      <c r="A426" t="s">
        <v>58</v>
      </c>
      <c r="B426">
        <v>560</v>
      </c>
      <c r="C426" t="str">
        <f>VLOOKUP(A426,'Food Masterdata'!A:C,3,0)</f>
        <v>grams</v>
      </c>
      <c r="D426" s="7">
        <v>46101</v>
      </c>
      <c r="E426" s="7" t="s">
        <v>61</v>
      </c>
    </row>
    <row r="427" spans="1:5" x14ac:dyDescent="0.35">
      <c r="A427" t="s">
        <v>62</v>
      </c>
      <c r="B427">
        <v>11</v>
      </c>
      <c r="C427" t="str">
        <f>VLOOKUP(A427,'Food Masterdata'!A:C,3,0)</f>
        <v>grams</v>
      </c>
      <c r="D427" s="7">
        <v>46101</v>
      </c>
      <c r="E427" s="7" t="s">
        <v>63</v>
      </c>
    </row>
    <row r="428" spans="1:5" x14ac:dyDescent="0.35">
      <c r="A428" t="s">
        <v>60</v>
      </c>
      <c r="B428">
        <v>67</v>
      </c>
      <c r="C428" t="str">
        <f>VLOOKUP(A428,'Food Masterdata'!A:C,3,0)</f>
        <v>grams</v>
      </c>
      <c r="D428" s="7">
        <v>46101</v>
      </c>
      <c r="E428" s="7" t="s">
        <v>63</v>
      </c>
    </row>
    <row r="429" spans="1:5" x14ac:dyDescent="0.35">
      <c r="A429" t="s">
        <v>69</v>
      </c>
      <c r="B429">
        <v>1</v>
      </c>
      <c r="C429" t="str">
        <f>VLOOKUP(A429,'Food Masterdata'!A:C,3,0)</f>
        <v>can</v>
      </c>
      <c r="D429" s="7">
        <v>46102</v>
      </c>
      <c r="E429" s="7" t="s">
        <v>54</v>
      </c>
    </row>
    <row r="430" spans="1:5" x14ac:dyDescent="0.35">
      <c r="A430" t="s">
        <v>132</v>
      </c>
      <c r="B430">
        <v>150</v>
      </c>
      <c r="C430" t="str">
        <f>VLOOKUP(A430,'Food Masterdata'!A:C,3,0)</f>
        <v>grams</v>
      </c>
      <c r="D430" s="7">
        <v>46102</v>
      </c>
      <c r="E430" s="7" t="s">
        <v>54</v>
      </c>
    </row>
    <row r="431" spans="1:5" x14ac:dyDescent="0.35">
      <c r="A431" t="s">
        <v>43</v>
      </c>
      <c r="B431">
        <v>170</v>
      </c>
      <c r="C431" t="str">
        <f>VLOOKUP(A431,'Food Masterdata'!A:C,3,0)</f>
        <v>grams</v>
      </c>
      <c r="D431" s="7">
        <v>46102</v>
      </c>
      <c r="E431" s="7" t="s">
        <v>54</v>
      </c>
    </row>
    <row r="432" spans="1:5" x14ac:dyDescent="0.35">
      <c r="A432" t="s">
        <v>64</v>
      </c>
      <c r="B432">
        <v>60</v>
      </c>
      <c r="C432" t="str">
        <f>VLOOKUP(A432,'Food Masterdata'!A:C,3,0)</f>
        <v>grams</v>
      </c>
      <c r="D432" s="7">
        <v>46102</v>
      </c>
      <c r="E432" s="7" t="s">
        <v>61</v>
      </c>
    </row>
    <row r="433" spans="1:5" x14ac:dyDescent="0.35">
      <c r="A433" t="s">
        <v>91</v>
      </c>
      <c r="B433">
        <v>115</v>
      </c>
      <c r="C433" t="str">
        <f>VLOOKUP(A433,'Food Masterdata'!A:C,3,0)</f>
        <v>grams</v>
      </c>
      <c r="D433" s="7">
        <v>46102</v>
      </c>
      <c r="E433" s="7" t="s">
        <v>61</v>
      </c>
    </row>
    <row r="434" spans="1:5" x14ac:dyDescent="0.35">
      <c r="A434" t="s">
        <v>94</v>
      </c>
      <c r="B434">
        <v>250</v>
      </c>
      <c r="C434" t="str">
        <f>VLOOKUP(A434,'Food Masterdata'!A:C,3,0)</f>
        <v>grams</v>
      </c>
      <c r="D434" s="7">
        <v>46102</v>
      </c>
      <c r="E434" s="7" t="s">
        <v>61</v>
      </c>
    </row>
    <row r="435" spans="1:5" x14ac:dyDescent="0.35">
      <c r="A435" t="s">
        <v>98</v>
      </c>
      <c r="B435">
        <v>1</v>
      </c>
      <c r="C435" t="str">
        <f>VLOOKUP(A435,'Food Masterdata'!A:C,3,0)</f>
        <v>grams</v>
      </c>
      <c r="D435" s="7">
        <v>46102</v>
      </c>
      <c r="E435" s="7" t="s">
        <v>61</v>
      </c>
    </row>
    <row r="436" spans="1:5" x14ac:dyDescent="0.35">
      <c r="A436" t="s">
        <v>97</v>
      </c>
      <c r="B436">
        <v>1</v>
      </c>
      <c r="C436" t="str">
        <f>VLOOKUP(A436,'Food Masterdata'!A:C,3,0)</f>
        <v>grams</v>
      </c>
      <c r="D436" s="7">
        <v>46102</v>
      </c>
      <c r="E436" s="7" t="s">
        <v>61</v>
      </c>
    </row>
    <row r="437" spans="1:5" x14ac:dyDescent="0.35">
      <c r="A437" t="s">
        <v>95</v>
      </c>
      <c r="B437">
        <v>1</v>
      </c>
      <c r="C437" t="str">
        <f>VLOOKUP(A437,'Food Masterdata'!A:C,3,0)</f>
        <v>grams</v>
      </c>
      <c r="D437" s="7">
        <v>46102</v>
      </c>
      <c r="E437" s="7" t="s">
        <v>61</v>
      </c>
    </row>
    <row r="438" spans="1:5" x14ac:dyDescent="0.35">
      <c r="A438" t="s">
        <v>69</v>
      </c>
      <c r="B438">
        <v>1</v>
      </c>
      <c r="C438" t="str">
        <f>VLOOKUP(A438,'Food Masterdata'!A:C,3,0)</f>
        <v>can</v>
      </c>
      <c r="D438" s="7">
        <v>46103</v>
      </c>
      <c r="E438" s="7" t="s">
        <v>54</v>
      </c>
    </row>
    <row r="439" spans="1:5" x14ac:dyDescent="0.35">
      <c r="A439" t="s">
        <v>91</v>
      </c>
      <c r="B439">
        <v>115</v>
      </c>
      <c r="C439" t="str">
        <f>VLOOKUP(A439,'Food Masterdata'!A:C,3,0)</f>
        <v>grams</v>
      </c>
      <c r="D439" s="7">
        <v>46103</v>
      </c>
      <c r="E439" s="7" t="s">
        <v>54</v>
      </c>
    </row>
    <row r="440" spans="1:5" x14ac:dyDescent="0.35">
      <c r="A440" t="s">
        <v>94</v>
      </c>
      <c r="B440">
        <v>250</v>
      </c>
      <c r="C440" t="str">
        <f>VLOOKUP(A440,'Food Masterdata'!A:C,3,0)</f>
        <v>grams</v>
      </c>
      <c r="D440" s="7">
        <v>46103</v>
      </c>
      <c r="E440" s="7" t="s">
        <v>54</v>
      </c>
    </row>
    <row r="441" spans="1:5" x14ac:dyDescent="0.35">
      <c r="A441" t="s">
        <v>98</v>
      </c>
      <c r="B441">
        <v>1</v>
      </c>
      <c r="C441" t="str">
        <f>VLOOKUP(A441,'Food Masterdata'!A:C,3,0)</f>
        <v>grams</v>
      </c>
      <c r="D441" s="7">
        <v>46103</v>
      </c>
      <c r="E441" s="7" t="s">
        <v>54</v>
      </c>
    </row>
    <row r="442" spans="1:5" x14ac:dyDescent="0.35">
      <c r="A442" t="s">
        <v>97</v>
      </c>
      <c r="B442">
        <v>1</v>
      </c>
      <c r="C442" t="str">
        <f>VLOOKUP(A442,'Food Masterdata'!A:C,3,0)</f>
        <v>grams</v>
      </c>
      <c r="D442" s="7">
        <v>46103</v>
      </c>
      <c r="E442" s="7" t="s">
        <v>54</v>
      </c>
    </row>
    <row r="443" spans="1:5" x14ac:dyDescent="0.35">
      <c r="A443" t="s">
        <v>95</v>
      </c>
      <c r="B443">
        <v>1</v>
      </c>
      <c r="C443" t="str">
        <f>VLOOKUP(A443,'Food Masterdata'!A:C,3,0)</f>
        <v>grams</v>
      </c>
      <c r="D443" s="7">
        <v>46103</v>
      </c>
      <c r="E443" s="7" t="s">
        <v>54</v>
      </c>
    </row>
    <row r="444" spans="1:5" x14ac:dyDescent="0.35">
      <c r="A444" t="s">
        <v>123</v>
      </c>
      <c r="B444">
        <v>117</v>
      </c>
      <c r="C444" t="str">
        <f>VLOOKUP(A444,'Food Masterdata'!A:C,3,0)</f>
        <v>grams</v>
      </c>
      <c r="D444" s="7">
        <v>46103</v>
      </c>
      <c r="E444" s="7" t="s">
        <v>61</v>
      </c>
    </row>
    <row r="445" spans="1:5" x14ac:dyDescent="0.35">
      <c r="A445" t="s">
        <v>128</v>
      </c>
      <c r="B445">
        <v>100</v>
      </c>
      <c r="C445" t="str">
        <f>VLOOKUP(A445,'Food Masterdata'!A:C,3,0)</f>
        <v>grams</v>
      </c>
      <c r="D445" s="7">
        <v>46103</v>
      </c>
      <c r="E445" s="7" t="s">
        <v>61</v>
      </c>
    </row>
    <row r="446" spans="1:5" x14ac:dyDescent="0.35">
      <c r="A446" t="s">
        <v>62</v>
      </c>
      <c r="B446">
        <v>10</v>
      </c>
      <c r="C446" t="str">
        <f>VLOOKUP(A446,'Food Masterdata'!A:C,3,0)</f>
        <v>grams</v>
      </c>
      <c r="D446" s="7">
        <v>46103</v>
      </c>
      <c r="E446" s="7" t="s">
        <v>61</v>
      </c>
    </row>
    <row r="447" spans="1:5" x14ac:dyDescent="0.35">
      <c r="A447" t="s">
        <v>121</v>
      </c>
      <c r="B447">
        <v>48</v>
      </c>
      <c r="C447" t="str">
        <f>VLOOKUP(A447,'Food Masterdata'!A:C,3,0)</f>
        <v>grams</v>
      </c>
      <c r="D447" s="7">
        <v>46103</v>
      </c>
      <c r="E447" s="7" t="s">
        <v>61</v>
      </c>
    </row>
    <row r="448" spans="1:5" x14ac:dyDescent="0.35">
      <c r="A448" t="s">
        <v>46</v>
      </c>
      <c r="B448">
        <v>5</v>
      </c>
      <c r="C448" t="str">
        <f>VLOOKUP(A448,'Food Masterdata'!A:C,3,0)</f>
        <v>egg</v>
      </c>
      <c r="D448" s="7">
        <v>46103</v>
      </c>
      <c r="E448" s="7" t="s">
        <v>63</v>
      </c>
    </row>
    <row r="449" spans="1:5" x14ac:dyDescent="0.35">
      <c r="A449" t="s">
        <v>123</v>
      </c>
      <c r="B449">
        <v>198</v>
      </c>
      <c r="C449" t="str">
        <f>VLOOKUP(A449,'Food Masterdata'!A:C,3,0)</f>
        <v>grams</v>
      </c>
      <c r="D449" s="7">
        <v>46104</v>
      </c>
      <c r="E449" s="7" t="s">
        <v>54</v>
      </c>
    </row>
    <row r="450" spans="1:5" x14ac:dyDescent="0.35">
      <c r="A450" t="s">
        <v>57</v>
      </c>
      <c r="B450">
        <v>53</v>
      </c>
      <c r="C450" t="str">
        <f>VLOOKUP(A450,'Food Masterdata'!A:C,3,0)</f>
        <v>grams</v>
      </c>
      <c r="D450" s="7">
        <v>46104</v>
      </c>
      <c r="E450" s="7" t="s">
        <v>54</v>
      </c>
    </row>
    <row r="451" spans="1:5" x14ac:dyDescent="0.35">
      <c r="A451" t="s">
        <v>99</v>
      </c>
      <c r="B451">
        <v>7</v>
      </c>
      <c r="C451" t="str">
        <f>VLOOKUP(A451,'Food Masterdata'!A:C,3,0)</f>
        <v>grams</v>
      </c>
      <c r="D451" s="7">
        <v>46104</v>
      </c>
      <c r="E451" s="7" t="s">
        <v>54</v>
      </c>
    </row>
    <row r="452" spans="1:5" x14ac:dyDescent="0.35">
      <c r="A452" t="s">
        <v>46</v>
      </c>
      <c r="B452">
        <v>5</v>
      </c>
      <c r="C452" t="str">
        <f>VLOOKUP(A452,'Food Masterdata'!A:C,3,0)</f>
        <v>egg</v>
      </c>
      <c r="D452" s="7">
        <v>46104</v>
      </c>
      <c r="E452" s="7" t="s">
        <v>61</v>
      </c>
    </row>
    <row r="453" spans="1:5" x14ac:dyDescent="0.35">
      <c r="A453" t="s">
        <v>62</v>
      </c>
      <c r="B453">
        <v>7</v>
      </c>
      <c r="C453" t="str">
        <f>VLOOKUP(A453,'Food Masterdata'!A:C,3,0)</f>
        <v>grams</v>
      </c>
      <c r="D453" s="7">
        <v>46104</v>
      </c>
      <c r="E453" s="7" t="s">
        <v>61</v>
      </c>
    </row>
    <row r="454" spans="1:5" x14ac:dyDescent="0.35">
      <c r="A454" t="s">
        <v>45</v>
      </c>
      <c r="B454">
        <v>21</v>
      </c>
      <c r="C454" t="str">
        <f>VLOOKUP(A454,'Food Masterdata'!A:C,3,0)</f>
        <v>grams</v>
      </c>
      <c r="D454" s="7">
        <v>46104</v>
      </c>
      <c r="E454" s="7" t="s">
        <v>61</v>
      </c>
    </row>
    <row r="455" spans="1:5" x14ac:dyDescent="0.35">
      <c r="A455" t="s">
        <v>117</v>
      </c>
      <c r="B455">
        <v>56</v>
      </c>
      <c r="C455" t="str">
        <f>VLOOKUP(A455,'Food Masterdata'!A:C,3,0)</f>
        <v>grams</v>
      </c>
      <c r="D455" s="7">
        <v>46104</v>
      </c>
      <c r="E455" s="7" t="s">
        <v>63</v>
      </c>
    </row>
    <row r="456" spans="1:5" x14ac:dyDescent="0.35">
      <c r="A456" t="s">
        <v>122</v>
      </c>
      <c r="B456">
        <v>420</v>
      </c>
      <c r="C456" t="str">
        <f>VLOOKUP(A456,'Food Masterdata'!A:C,3,0)</f>
        <v>grams</v>
      </c>
      <c r="D456" s="7">
        <v>46104</v>
      </c>
      <c r="E456" s="7" t="s">
        <v>63</v>
      </c>
    </row>
    <row r="457" spans="1:5" x14ac:dyDescent="0.35">
      <c r="A457" t="s">
        <v>100</v>
      </c>
      <c r="B457">
        <v>98</v>
      </c>
      <c r="C457" t="str">
        <f>VLOOKUP(A457,'Food Masterdata'!A:C,3,0)</f>
        <v>grams</v>
      </c>
      <c r="D457" s="7">
        <v>46104</v>
      </c>
      <c r="E457" s="7" t="s">
        <v>74</v>
      </c>
    </row>
    <row r="458" spans="1:5" x14ac:dyDescent="0.35">
      <c r="A458" t="s">
        <v>69</v>
      </c>
      <c r="B458">
        <v>1</v>
      </c>
      <c r="C458" t="str">
        <f>VLOOKUP(A458,'Food Masterdata'!A:C,3,0)</f>
        <v>can</v>
      </c>
      <c r="D458" s="7">
        <v>46104</v>
      </c>
      <c r="E458" s="7" t="s">
        <v>74</v>
      </c>
    </row>
    <row r="459" spans="1:5" x14ac:dyDescent="0.35">
      <c r="A459" t="s">
        <v>69</v>
      </c>
      <c r="B459">
        <v>1</v>
      </c>
      <c r="C459" t="str">
        <f>VLOOKUP(A459,'Food Masterdata'!A:C,3,0)</f>
        <v>can</v>
      </c>
      <c r="D459" s="7">
        <v>46105</v>
      </c>
      <c r="E459" s="7" t="s">
        <v>54</v>
      </c>
    </row>
    <row r="460" spans="1:5" x14ac:dyDescent="0.35">
      <c r="A460" t="s">
        <v>72</v>
      </c>
      <c r="B460">
        <v>157</v>
      </c>
      <c r="C460" t="str">
        <f>VLOOKUP(A460,'Food Masterdata'!A:C,3,0)</f>
        <v>grams</v>
      </c>
      <c r="D460" s="7">
        <v>46105</v>
      </c>
      <c r="E460" s="7" t="s">
        <v>54</v>
      </c>
    </row>
    <row r="461" spans="1:5" x14ac:dyDescent="0.35">
      <c r="A461" t="s">
        <v>123</v>
      </c>
      <c r="B461">
        <v>163</v>
      </c>
      <c r="C461" t="str">
        <f>VLOOKUP(A461,'Food Masterdata'!A:C,3,0)</f>
        <v>grams</v>
      </c>
      <c r="D461" s="7">
        <v>46105</v>
      </c>
      <c r="E461" s="7" t="s">
        <v>54</v>
      </c>
    </row>
    <row r="462" spans="1:5" x14ac:dyDescent="0.35">
      <c r="A462" t="s">
        <v>56</v>
      </c>
      <c r="B462">
        <v>100</v>
      </c>
      <c r="C462" t="str">
        <f>VLOOKUP(A462,'Food Masterdata'!A:C,3,0)</f>
        <v>grams</v>
      </c>
      <c r="D462" s="7">
        <v>46105</v>
      </c>
      <c r="E462" s="7" t="s">
        <v>54</v>
      </c>
    </row>
    <row r="463" spans="1:5" x14ac:dyDescent="0.35">
      <c r="A463" t="s">
        <v>100</v>
      </c>
      <c r="B463">
        <v>94</v>
      </c>
      <c r="C463" t="str">
        <f>VLOOKUP(A463,'Food Masterdata'!A:C,3,0)</f>
        <v>grams</v>
      </c>
      <c r="D463" s="7">
        <v>46105</v>
      </c>
      <c r="E463" s="7" t="s">
        <v>54</v>
      </c>
    </row>
    <row r="464" spans="1:5" x14ac:dyDescent="0.35">
      <c r="A464" t="s">
        <v>58</v>
      </c>
      <c r="B464">
        <v>500</v>
      </c>
      <c r="C464" t="str">
        <f>VLOOKUP(A464,'Food Masterdata'!A:C,3,0)</f>
        <v>grams</v>
      </c>
      <c r="D464" s="7">
        <v>46105</v>
      </c>
      <c r="E464" s="7" t="s">
        <v>61</v>
      </c>
    </row>
    <row r="465" spans="1:5" x14ac:dyDescent="0.35">
      <c r="A465" t="s">
        <v>135</v>
      </c>
      <c r="B465">
        <v>71</v>
      </c>
      <c r="C465" t="str">
        <f>VLOOKUP(A465,'Food Masterdata'!A:C,3,0)</f>
        <v>grams</v>
      </c>
      <c r="D465" s="7">
        <v>46105</v>
      </c>
      <c r="E465" s="7" t="s">
        <v>63</v>
      </c>
    </row>
    <row r="466" spans="1:5" x14ac:dyDescent="0.35">
      <c r="A466" t="s">
        <v>81</v>
      </c>
      <c r="B466">
        <v>146</v>
      </c>
      <c r="C466" t="str">
        <f>VLOOKUP(A466,'Food Masterdata'!A:C,3,0)</f>
        <v>grams</v>
      </c>
      <c r="D466" s="7">
        <v>46105</v>
      </c>
      <c r="E466" s="7" t="s">
        <v>63</v>
      </c>
    </row>
    <row r="467" spans="1:5" x14ac:dyDescent="0.35">
      <c r="A467" t="s">
        <v>123</v>
      </c>
      <c r="B467">
        <v>128</v>
      </c>
      <c r="C467" t="str">
        <f>VLOOKUP(A467,'Food Masterdata'!A:C,3,0)</f>
        <v>grams</v>
      </c>
      <c r="D467" s="7">
        <v>46106</v>
      </c>
      <c r="E467" s="7" t="s">
        <v>54</v>
      </c>
    </row>
    <row r="468" spans="1:5" x14ac:dyDescent="0.35">
      <c r="A468" t="s">
        <v>135</v>
      </c>
      <c r="B468">
        <v>77</v>
      </c>
      <c r="C468" t="str">
        <f>VLOOKUP(A468,'Food Masterdata'!A:C,3,0)</f>
        <v>grams</v>
      </c>
      <c r="D468" s="7">
        <v>46106</v>
      </c>
      <c r="E468" s="7" t="s">
        <v>54</v>
      </c>
    </row>
    <row r="469" spans="1:5" x14ac:dyDescent="0.35">
      <c r="A469" t="s">
        <v>136</v>
      </c>
      <c r="B469">
        <v>150</v>
      </c>
      <c r="C469" t="str">
        <f>VLOOKUP(A469,'Food Masterdata'!A:C,3,0)</f>
        <v>grams</v>
      </c>
      <c r="D469" s="7">
        <v>46106</v>
      </c>
      <c r="E469" s="7" t="s">
        <v>54</v>
      </c>
    </row>
    <row r="470" spans="1:5" x14ac:dyDescent="0.35">
      <c r="A470" t="s">
        <v>58</v>
      </c>
      <c r="B470">
        <v>500</v>
      </c>
      <c r="C470" t="str">
        <f>VLOOKUP(A470,'Food Masterdata'!A:C,3,0)</f>
        <v>grams</v>
      </c>
      <c r="D470" s="7">
        <v>46106</v>
      </c>
      <c r="E470" s="7" t="s">
        <v>61</v>
      </c>
    </row>
    <row r="471" spans="1:5" x14ac:dyDescent="0.35">
      <c r="A471" t="s">
        <v>69</v>
      </c>
      <c r="B471">
        <v>1</v>
      </c>
      <c r="C471" t="str">
        <f>VLOOKUP(A471,'Food Masterdata'!A:C,3,0)</f>
        <v>can</v>
      </c>
      <c r="D471" s="7">
        <v>46106</v>
      </c>
      <c r="E471" s="7" t="s">
        <v>63</v>
      </c>
    </row>
    <row r="472" spans="1:5" x14ac:dyDescent="0.35">
      <c r="A472" t="s">
        <v>62</v>
      </c>
      <c r="B472">
        <v>10</v>
      </c>
      <c r="C472" t="str">
        <f>VLOOKUP(A472,'Food Masterdata'!A:C,3,0)</f>
        <v>grams</v>
      </c>
      <c r="D472" s="7">
        <v>46106</v>
      </c>
      <c r="E472" s="7" t="s">
        <v>63</v>
      </c>
    </row>
    <row r="473" spans="1:5" x14ac:dyDescent="0.35">
      <c r="A473" t="s">
        <v>60</v>
      </c>
      <c r="B473">
        <v>60</v>
      </c>
      <c r="C473" t="str">
        <f>VLOOKUP(A473,'Food Masterdata'!A:C,3,0)</f>
        <v>grams</v>
      </c>
      <c r="D473" s="7">
        <v>46106</v>
      </c>
      <c r="E473" s="7" t="s">
        <v>63</v>
      </c>
    </row>
    <row r="474" spans="1:5" x14ac:dyDescent="0.35">
      <c r="A474" t="s">
        <v>132</v>
      </c>
      <c r="B474">
        <v>150</v>
      </c>
      <c r="C474" t="str">
        <f>VLOOKUP(A474,'Food Masterdata'!A:C,3,0)</f>
        <v>grams</v>
      </c>
      <c r="D474" s="7">
        <v>46106</v>
      </c>
      <c r="E474" s="7" t="s">
        <v>74</v>
      </c>
    </row>
    <row r="475" spans="1:5" x14ac:dyDescent="0.35">
      <c r="A475" t="s">
        <v>126</v>
      </c>
      <c r="B475">
        <v>150</v>
      </c>
      <c r="C475" t="str">
        <f>VLOOKUP(A475,'Food Masterdata'!A:C,3,0)</f>
        <v>grams</v>
      </c>
      <c r="D475" s="7">
        <v>46106</v>
      </c>
      <c r="E475" s="7" t="s">
        <v>74</v>
      </c>
    </row>
    <row r="476" spans="1:5" x14ac:dyDescent="0.35">
      <c r="A476" t="s">
        <v>77</v>
      </c>
      <c r="B476">
        <v>121</v>
      </c>
      <c r="C476" t="str">
        <f>VLOOKUP(A476,'Food Masterdata'!A:C,3,0)</f>
        <v>grams</v>
      </c>
      <c r="D476" s="7">
        <v>46106</v>
      </c>
      <c r="E476" s="7" t="s">
        <v>74</v>
      </c>
    </row>
    <row r="477" spans="1:5" x14ac:dyDescent="0.35">
      <c r="A477" t="s">
        <v>132</v>
      </c>
      <c r="B477">
        <v>150</v>
      </c>
      <c r="C477" t="str">
        <f>VLOOKUP(A477,'Food Masterdata'!A:C,3,0)</f>
        <v>grams</v>
      </c>
      <c r="D477" s="7">
        <v>46107</v>
      </c>
      <c r="E477" s="7" t="s">
        <v>54</v>
      </c>
    </row>
    <row r="478" spans="1:5" x14ac:dyDescent="0.35">
      <c r="A478" t="s">
        <v>126</v>
      </c>
      <c r="B478">
        <v>150</v>
      </c>
      <c r="C478" t="str">
        <f>VLOOKUP(A478,'Food Masterdata'!A:C,3,0)</f>
        <v>grams</v>
      </c>
      <c r="D478" s="7">
        <v>46107</v>
      </c>
      <c r="E478" s="7" t="s">
        <v>54</v>
      </c>
    </row>
    <row r="479" spans="1:5" x14ac:dyDescent="0.35">
      <c r="A479" t="s">
        <v>69</v>
      </c>
      <c r="B479">
        <v>1</v>
      </c>
      <c r="C479" t="str">
        <f>VLOOKUP(A479,'Food Masterdata'!A:C,3,0)</f>
        <v>can</v>
      </c>
      <c r="D479" s="7">
        <v>46107</v>
      </c>
      <c r="E479" s="7" t="s">
        <v>54</v>
      </c>
    </row>
    <row r="480" spans="1:5" x14ac:dyDescent="0.35">
      <c r="A480" t="s">
        <v>123</v>
      </c>
      <c r="B480">
        <v>101</v>
      </c>
      <c r="C480" t="str">
        <f>VLOOKUP(A480,'Food Masterdata'!A:C,3,0)</f>
        <v>grams</v>
      </c>
      <c r="D480" s="7">
        <v>46107</v>
      </c>
      <c r="E480" s="7" t="s">
        <v>54</v>
      </c>
    </row>
    <row r="481" spans="1:5" x14ac:dyDescent="0.35">
      <c r="A481" t="s">
        <v>62</v>
      </c>
      <c r="B481">
        <v>8</v>
      </c>
      <c r="C481" t="str">
        <f>VLOOKUP(A481,'Food Masterdata'!A:C,3,0)</f>
        <v>grams</v>
      </c>
      <c r="D481" s="7">
        <v>46107</v>
      </c>
      <c r="E481" s="7" t="s">
        <v>61</v>
      </c>
    </row>
    <row r="482" spans="1:5" x14ac:dyDescent="0.35">
      <c r="A482" t="s">
        <v>119</v>
      </c>
      <c r="B482">
        <v>40</v>
      </c>
      <c r="C482" t="str">
        <f>VLOOKUP(A482,'Food Masterdata'!A:C,3,0)</f>
        <v>grams</v>
      </c>
      <c r="D482" s="7">
        <v>46107</v>
      </c>
      <c r="E482" s="7" t="s">
        <v>61</v>
      </c>
    </row>
    <row r="483" spans="1:5" x14ac:dyDescent="0.35">
      <c r="A483" t="s">
        <v>45</v>
      </c>
      <c r="B483">
        <v>21</v>
      </c>
      <c r="C483" t="str">
        <f>VLOOKUP(A483,'Food Masterdata'!A:C,3,0)</f>
        <v>grams</v>
      </c>
      <c r="D483" s="7">
        <v>46107</v>
      </c>
      <c r="E483" s="7" t="s">
        <v>61</v>
      </c>
    </row>
    <row r="484" spans="1:5" x14ac:dyDescent="0.35">
      <c r="A484" t="s">
        <v>80</v>
      </c>
      <c r="B484">
        <v>400</v>
      </c>
      <c r="C484" t="str">
        <f>VLOOKUP(A484,'Food Masterdata'!A:C,3,0)</f>
        <v>grams</v>
      </c>
      <c r="D484" s="7">
        <v>46107</v>
      </c>
      <c r="E484" s="7" t="s">
        <v>63</v>
      </c>
    </row>
    <row r="485" spans="1:5" x14ac:dyDescent="0.35">
      <c r="A485" t="s">
        <v>120</v>
      </c>
      <c r="B485">
        <v>265</v>
      </c>
      <c r="C485" t="str">
        <f>VLOOKUP(A485,'Food Masterdata'!A:C,3,0)</f>
        <v>grams</v>
      </c>
      <c r="D485" s="7">
        <v>46107</v>
      </c>
      <c r="E485" s="7" t="s">
        <v>74</v>
      </c>
    </row>
    <row r="486" spans="1:5" x14ac:dyDescent="0.35">
      <c r="A486" t="s">
        <v>57</v>
      </c>
      <c r="B486">
        <v>55</v>
      </c>
      <c r="C486" t="str">
        <f>VLOOKUP(A486,'Food Masterdata'!A:C,3,0)</f>
        <v>grams</v>
      </c>
      <c r="D486" s="7">
        <v>46108</v>
      </c>
      <c r="E486" s="7" t="s">
        <v>54</v>
      </c>
    </row>
    <row r="487" spans="1:5" x14ac:dyDescent="0.35">
      <c r="A487" t="s">
        <v>99</v>
      </c>
      <c r="B487">
        <v>7</v>
      </c>
      <c r="C487" t="str">
        <f>VLOOKUP(A487,'Food Masterdata'!A:C,3,0)</f>
        <v>grams</v>
      </c>
      <c r="D487" s="7">
        <v>46108</v>
      </c>
      <c r="E487" s="7" t="s">
        <v>54</v>
      </c>
    </row>
    <row r="488" spans="1:5" x14ac:dyDescent="0.35">
      <c r="A488" t="s">
        <v>123</v>
      </c>
      <c r="B488">
        <v>141</v>
      </c>
      <c r="C488" t="str">
        <f>VLOOKUP(A488,'Food Masterdata'!A:C,3,0)</f>
        <v>grams</v>
      </c>
      <c r="D488" s="7">
        <v>46108</v>
      </c>
      <c r="E488" s="7" t="s">
        <v>54</v>
      </c>
    </row>
    <row r="489" spans="1:5" x14ac:dyDescent="0.35">
      <c r="A489" t="s">
        <v>58</v>
      </c>
      <c r="B489">
        <v>500</v>
      </c>
      <c r="C489" t="str">
        <f>VLOOKUP(A489,'Food Masterdata'!A:C,3,0)</f>
        <v>grams</v>
      </c>
      <c r="D489" s="7">
        <v>46108</v>
      </c>
      <c r="E489" t="s">
        <v>61</v>
      </c>
    </row>
    <row r="490" spans="1:5" x14ac:dyDescent="0.35">
      <c r="A490" t="s">
        <v>76</v>
      </c>
      <c r="B490">
        <v>300</v>
      </c>
      <c r="C490" t="str">
        <f>VLOOKUP(A490,'Food Masterdata'!A:C,3,0)</f>
        <v>grams</v>
      </c>
      <c r="D490" s="7">
        <v>46108</v>
      </c>
      <c r="E490" t="s">
        <v>61</v>
      </c>
    </row>
    <row r="491" spans="1:5" x14ac:dyDescent="0.35">
      <c r="A491" t="s">
        <v>69</v>
      </c>
      <c r="B491">
        <v>1</v>
      </c>
      <c r="C491" t="str">
        <f>VLOOKUP(A491,'Food Masterdata'!A:C,3,0)</f>
        <v>can</v>
      </c>
      <c r="D491" s="7">
        <v>46109</v>
      </c>
      <c r="E491" s="7" t="s">
        <v>54</v>
      </c>
    </row>
    <row r="492" spans="1:5" x14ac:dyDescent="0.35">
      <c r="A492" t="s">
        <v>60</v>
      </c>
      <c r="B492">
        <v>63</v>
      </c>
      <c r="C492" t="str">
        <f>VLOOKUP(A492,'Food Masterdata'!A:C,3,0)</f>
        <v>grams</v>
      </c>
      <c r="D492" s="7">
        <v>46109</v>
      </c>
      <c r="E492" s="7" t="s">
        <v>54</v>
      </c>
    </row>
    <row r="493" spans="1:5" x14ac:dyDescent="0.35">
      <c r="A493" t="s">
        <v>123</v>
      </c>
      <c r="B493">
        <v>129</v>
      </c>
      <c r="C493" t="str">
        <f>VLOOKUP(A493,'Food Masterdata'!A:C,3,0)</f>
        <v>grams</v>
      </c>
      <c r="D493" s="7">
        <v>46109</v>
      </c>
      <c r="E493" s="7" t="s">
        <v>61</v>
      </c>
    </row>
    <row r="494" spans="1:5" x14ac:dyDescent="0.35">
      <c r="A494" t="s">
        <v>137</v>
      </c>
      <c r="B494">
        <v>200</v>
      </c>
      <c r="C494" t="str">
        <f>VLOOKUP(A494,'Food Masterdata'!A:C,3,0)</f>
        <v>grams</v>
      </c>
      <c r="D494" s="7">
        <v>46109</v>
      </c>
      <c r="E494" s="7" t="s">
        <v>61</v>
      </c>
    </row>
    <row r="495" spans="1:5" x14ac:dyDescent="0.35">
      <c r="A495" t="s">
        <v>62</v>
      </c>
      <c r="B495">
        <v>13</v>
      </c>
      <c r="C495" t="str">
        <f>VLOOKUP(A495,'Food Masterdata'!A:C,3,0)</f>
        <v>grams</v>
      </c>
      <c r="D495" s="7">
        <v>46109</v>
      </c>
      <c r="E495" s="7" t="s">
        <v>61</v>
      </c>
    </row>
    <row r="496" spans="1:5" x14ac:dyDescent="0.35">
      <c r="A496" t="s">
        <v>45</v>
      </c>
      <c r="B496">
        <v>39</v>
      </c>
      <c r="C496" t="str">
        <f>VLOOKUP(A496,'Food Masterdata'!A:C,3,0)</f>
        <v>grams</v>
      </c>
      <c r="D496" s="7">
        <v>46109</v>
      </c>
      <c r="E496" s="7" t="s">
        <v>61</v>
      </c>
    </row>
    <row r="497" spans="1:5" x14ac:dyDescent="0.35">
      <c r="A497" t="s">
        <v>69</v>
      </c>
      <c r="B497">
        <v>1</v>
      </c>
      <c r="C497" t="str">
        <f>VLOOKUP(A497,'Food Masterdata'!A:C,3,0)</f>
        <v>can</v>
      </c>
      <c r="D497" s="7">
        <v>46110</v>
      </c>
      <c r="E497" s="7" t="s">
        <v>54</v>
      </c>
    </row>
    <row r="498" spans="1:5" x14ac:dyDescent="0.35">
      <c r="A498" t="s">
        <v>60</v>
      </c>
      <c r="B498">
        <v>51</v>
      </c>
      <c r="C498" t="str">
        <f>VLOOKUP(A498,'Food Masterdata'!A:C,3,0)</f>
        <v>grams</v>
      </c>
      <c r="D498" s="7">
        <v>46110</v>
      </c>
      <c r="E498" s="7" t="s">
        <v>54</v>
      </c>
    </row>
    <row r="499" spans="1:5" x14ac:dyDescent="0.35">
      <c r="A499" t="s">
        <v>117</v>
      </c>
      <c r="B499">
        <v>70</v>
      </c>
      <c r="C499" t="str">
        <f>VLOOKUP(A499,'Food Masterdata'!A:C,3,0)</f>
        <v>grams</v>
      </c>
      <c r="D499" s="7">
        <v>46110</v>
      </c>
      <c r="E499" s="7" t="s">
        <v>54</v>
      </c>
    </row>
    <row r="500" spans="1:5" x14ac:dyDescent="0.35">
      <c r="A500" t="s">
        <v>58</v>
      </c>
      <c r="B500">
        <v>500</v>
      </c>
      <c r="C500" t="str">
        <f>VLOOKUP(A500,'Food Masterdata'!A:C,3,0)</f>
        <v>grams</v>
      </c>
      <c r="D500" s="7">
        <v>46110</v>
      </c>
      <c r="E500" s="7" t="s">
        <v>61</v>
      </c>
    </row>
    <row r="501" spans="1:5" x14ac:dyDescent="0.35">
      <c r="A501" t="s">
        <v>55</v>
      </c>
      <c r="B501">
        <v>202</v>
      </c>
      <c r="C501" t="str">
        <f>VLOOKUP(A501,'Food Masterdata'!A:C,3,0)</f>
        <v>grams</v>
      </c>
      <c r="D501" s="7">
        <v>46111</v>
      </c>
      <c r="E501" s="7" t="s">
        <v>54</v>
      </c>
    </row>
    <row r="502" spans="1:5" x14ac:dyDescent="0.35">
      <c r="A502" t="s">
        <v>69</v>
      </c>
      <c r="B502">
        <v>1</v>
      </c>
      <c r="C502" t="str">
        <f>VLOOKUP(A502,'Food Masterdata'!A:C,3,0)</f>
        <v>can</v>
      </c>
      <c r="D502" s="7">
        <v>46111</v>
      </c>
      <c r="E502" s="7" t="s">
        <v>54</v>
      </c>
    </row>
    <row r="503" spans="1:5" x14ac:dyDescent="0.35">
      <c r="A503" t="s">
        <v>123</v>
      </c>
      <c r="B503">
        <v>141</v>
      </c>
      <c r="C503" t="str">
        <f>VLOOKUP(A503,'Food Masterdata'!A:C,3,0)</f>
        <v>grams</v>
      </c>
      <c r="D503" s="7">
        <v>46111</v>
      </c>
      <c r="E503" s="7" t="s">
        <v>54</v>
      </c>
    </row>
    <row r="504" spans="1:5" x14ac:dyDescent="0.35">
      <c r="A504" t="s">
        <v>77</v>
      </c>
      <c r="B504">
        <v>86</v>
      </c>
      <c r="C504" t="str">
        <f>VLOOKUP(A504,'Food Masterdata'!A:C,3,0)</f>
        <v>grams</v>
      </c>
      <c r="D504" s="7">
        <v>46111</v>
      </c>
      <c r="E504" t="s">
        <v>61</v>
      </c>
    </row>
    <row r="505" spans="1:5" x14ac:dyDescent="0.35">
      <c r="A505" t="s">
        <v>60</v>
      </c>
      <c r="B505">
        <v>43</v>
      </c>
      <c r="C505" t="str">
        <f>VLOOKUP(A505,'Food Masterdata'!A:C,3,0)</f>
        <v>grams</v>
      </c>
      <c r="D505" s="7">
        <v>46111</v>
      </c>
      <c r="E505" s="7" t="s">
        <v>61</v>
      </c>
    </row>
    <row r="506" spans="1:5" x14ac:dyDescent="0.35">
      <c r="A506" t="s">
        <v>45</v>
      </c>
      <c r="B506">
        <v>21</v>
      </c>
      <c r="C506" t="str">
        <f>VLOOKUP(A506,'Food Masterdata'!A:C,3,0)</f>
        <v>grams</v>
      </c>
      <c r="D506" s="7">
        <v>46111</v>
      </c>
      <c r="E506" s="7" t="s">
        <v>61</v>
      </c>
    </row>
    <row r="507" spans="1:5" x14ac:dyDescent="0.35">
      <c r="A507" t="s">
        <v>119</v>
      </c>
      <c r="B507">
        <v>21</v>
      </c>
      <c r="C507" t="str">
        <f>VLOOKUP(A507,'Food Masterdata'!A:C,3,0)</f>
        <v>grams</v>
      </c>
      <c r="D507" s="7">
        <v>46111</v>
      </c>
      <c r="E507" s="7" t="s">
        <v>61</v>
      </c>
    </row>
    <row r="508" spans="1:5" x14ac:dyDescent="0.35">
      <c r="A508" t="s">
        <v>62</v>
      </c>
      <c r="B508">
        <v>7</v>
      </c>
      <c r="C508" t="str">
        <f>VLOOKUP(A508,'Food Masterdata'!A:C,3,0)</f>
        <v>grams</v>
      </c>
      <c r="D508" s="7">
        <v>46111</v>
      </c>
      <c r="E508" s="7" t="s">
        <v>61</v>
      </c>
    </row>
    <row r="509" spans="1:5" x14ac:dyDescent="0.35">
      <c r="A509" t="s">
        <v>132</v>
      </c>
      <c r="B509">
        <v>150</v>
      </c>
      <c r="C509" t="str">
        <f>VLOOKUP(A509,'Food Masterdata'!A:C,3,0)</f>
        <v>grams</v>
      </c>
      <c r="D509" s="7">
        <v>46112</v>
      </c>
      <c r="E509" s="7" t="s">
        <v>54</v>
      </c>
    </row>
    <row r="510" spans="1:5" x14ac:dyDescent="0.35">
      <c r="A510" t="s">
        <v>126</v>
      </c>
      <c r="B510">
        <v>150</v>
      </c>
      <c r="C510" t="str">
        <f>VLOOKUP(A510,'Food Masterdata'!A:C,3,0)</f>
        <v>grams</v>
      </c>
      <c r="D510" s="7">
        <v>46112</v>
      </c>
      <c r="E510" s="7" t="s">
        <v>54</v>
      </c>
    </row>
    <row r="511" spans="1:5" x14ac:dyDescent="0.35">
      <c r="A511" t="s">
        <v>69</v>
      </c>
      <c r="B511">
        <v>1</v>
      </c>
      <c r="C511" t="str">
        <f>VLOOKUP(A511,'Food Masterdata'!A:C,3,0)</f>
        <v>can</v>
      </c>
      <c r="D511" s="7">
        <v>46112</v>
      </c>
      <c r="E511" s="7" t="s">
        <v>54</v>
      </c>
    </row>
    <row r="512" spans="1:5" x14ac:dyDescent="0.35">
      <c r="A512" t="s">
        <v>46</v>
      </c>
      <c r="B512">
        <v>5</v>
      </c>
      <c r="C512" t="str">
        <f>VLOOKUP(A512,'Food Masterdata'!A:C,3,0)</f>
        <v>egg</v>
      </c>
      <c r="D512" s="7">
        <v>46112</v>
      </c>
      <c r="E512" s="7" t="s">
        <v>61</v>
      </c>
    </row>
    <row r="513" spans="1:5" x14ac:dyDescent="0.35">
      <c r="A513" t="s">
        <v>132</v>
      </c>
      <c r="B513">
        <v>150</v>
      </c>
      <c r="C513" t="str">
        <f>VLOOKUP(A513,'Food Masterdata'!A:C,3,0)</f>
        <v>grams</v>
      </c>
      <c r="D513" s="7">
        <v>46113</v>
      </c>
      <c r="E513" s="7" t="s">
        <v>54</v>
      </c>
    </row>
    <row r="514" spans="1:5" x14ac:dyDescent="0.35">
      <c r="A514" t="s">
        <v>126</v>
      </c>
      <c r="B514">
        <v>150</v>
      </c>
      <c r="C514" t="str">
        <f>VLOOKUP(A514,'Food Masterdata'!A:C,3,0)</f>
        <v>grams</v>
      </c>
      <c r="D514" s="7">
        <v>46113</v>
      </c>
      <c r="E514" s="7" t="s">
        <v>54</v>
      </c>
    </row>
    <row r="515" spans="1:5" x14ac:dyDescent="0.35">
      <c r="A515" t="s">
        <v>58</v>
      </c>
      <c r="B515">
        <v>555</v>
      </c>
      <c r="C515" t="str">
        <f>VLOOKUP(A515,'Food Masterdata'!A:C,3,0)</f>
        <v>grams</v>
      </c>
      <c r="D515" s="7">
        <v>46113</v>
      </c>
      <c r="E515" s="7" t="s">
        <v>61</v>
      </c>
    </row>
    <row r="516" spans="1:5" x14ac:dyDescent="0.35">
      <c r="A516" t="s">
        <v>69</v>
      </c>
      <c r="B516">
        <v>1</v>
      </c>
      <c r="C516" t="str">
        <f>VLOOKUP(A516,'Food Masterdata'!A:C,3,0)</f>
        <v>can</v>
      </c>
      <c r="D516" s="7">
        <v>46113</v>
      </c>
      <c r="E516" s="7" t="s">
        <v>61</v>
      </c>
    </row>
    <row r="517" spans="1:5" x14ac:dyDescent="0.35">
      <c r="A517" t="s">
        <v>123</v>
      </c>
      <c r="B517">
        <v>120</v>
      </c>
      <c r="C517" t="str">
        <f>VLOOKUP(A517,'Food Masterdata'!A:C,3,0)</f>
        <v>grams</v>
      </c>
      <c r="D517" s="7">
        <v>46113</v>
      </c>
      <c r="E517" s="7" t="s">
        <v>63</v>
      </c>
    </row>
    <row r="518" spans="1:5" x14ac:dyDescent="0.35">
      <c r="A518" t="s">
        <v>135</v>
      </c>
      <c r="B518">
        <v>110</v>
      </c>
      <c r="C518" t="str">
        <f>VLOOKUP(A518,'Food Masterdata'!A:C,3,0)</f>
        <v>grams</v>
      </c>
      <c r="D518" s="7">
        <v>46113</v>
      </c>
      <c r="E518" s="7" t="s">
        <v>63</v>
      </c>
    </row>
    <row r="519" spans="1:5" x14ac:dyDescent="0.35">
      <c r="A519" t="s">
        <v>62</v>
      </c>
      <c r="B519">
        <v>11</v>
      </c>
      <c r="C519" t="str">
        <f>VLOOKUP(A519,'Food Masterdata'!A:C,3,0)</f>
        <v>grams</v>
      </c>
      <c r="D519" s="7">
        <v>46113</v>
      </c>
      <c r="E519" s="7" t="s">
        <v>63</v>
      </c>
    </row>
    <row r="520" spans="1:5" x14ac:dyDescent="0.35">
      <c r="A520" t="s">
        <v>60</v>
      </c>
      <c r="B520">
        <v>50</v>
      </c>
      <c r="C520" t="str">
        <f>VLOOKUP(A520,'Food Masterdata'!A:C,3,0)</f>
        <v>grams</v>
      </c>
      <c r="D520" s="7">
        <v>46113</v>
      </c>
      <c r="E520" s="7" t="s">
        <v>63</v>
      </c>
    </row>
    <row r="521" spans="1:5" x14ac:dyDescent="0.35">
      <c r="A521" t="s">
        <v>128</v>
      </c>
      <c r="B521">
        <v>100</v>
      </c>
      <c r="C521" t="str">
        <f>VLOOKUP(A521,'Food Masterdata'!A:C,3,0)</f>
        <v>grams</v>
      </c>
      <c r="D521" s="7">
        <v>46113</v>
      </c>
      <c r="E521" s="7" t="s">
        <v>74</v>
      </c>
    </row>
    <row r="522" spans="1:5" x14ac:dyDescent="0.35">
      <c r="A522" t="s">
        <v>137</v>
      </c>
      <c r="B522">
        <v>200</v>
      </c>
      <c r="C522" t="str">
        <f>VLOOKUP(A522,'Food Masterdata'!A:C,3,0)</f>
        <v>grams</v>
      </c>
      <c r="D522" s="7">
        <v>46113</v>
      </c>
      <c r="E522" s="7" t="s">
        <v>74</v>
      </c>
    </row>
    <row r="523" spans="1:5" x14ac:dyDescent="0.35">
      <c r="A523" t="s">
        <v>77</v>
      </c>
      <c r="B523">
        <v>237</v>
      </c>
      <c r="C523" t="str">
        <f>VLOOKUP(A523,'Food Masterdata'!A:C,3,0)</f>
        <v>grams</v>
      </c>
      <c r="D523" s="7">
        <v>46113</v>
      </c>
      <c r="E523" s="7" t="s">
        <v>74</v>
      </c>
    </row>
    <row r="524" spans="1:5" x14ac:dyDescent="0.35">
      <c r="A524" t="s">
        <v>69</v>
      </c>
      <c r="B524">
        <v>1</v>
      </c>
      <c r="C524" t="str">
        <f>VLOOKUP(A524,'Food Masterdata'!A:C,3,0)</f>
        <v>can</v>
      </c>
      <c r="D524" s="7">
        <v>46114</v>
      </c>
      <c r="E524" s="7" t="s">
        <v>54</v>
      </c>
    </row>
    <row r="525" spans="1:5" x14ac:dyDescent="0.35">
      <c r="A525" t="s">
        <v>120</v>
      </c>
      <c r="B525">
        <v>152</v>
      </c>
      <c r="C525" t="str">
        <f>VLOOKUP(A525,'Food Masterdata'!A:C,3,0)</f>
        <v>grams</v>
      </c>
      <c r="D525" s="7">
        <v>46114</v>
      </c>
      <c r="E525" s="7" t="s">
        <v>54</v>
      </c>
    </row>
    <row r="526" spans="1:5" x14ac:dyDescent="0.35">
      <c r="A526" t="s">
        <v>58</v>
      </c>
      <c r="B526">
        <v>435</v>
      </c>
      <c r="C526" t="str">
        <f>VLOOKUP(A526,'Food Masterdata'!A:C,3,0)</f>
        <v>grams</v>
      </c>
      <c r="D526" s="7">
        <v>46114</v>
      </c>
      <c r="E526" s="7" t="s">
        <v>61</v>
      </c>
    </row>
    <row r="527" spans="1:5" x14ac:dyDescent="0.35">
      <c r="A527" t="s">
        <v>123</v>
      </c>
      <c r="B527">
        <v>130</v>
      </c>
      <c r="C527" t="str">
        <f>VLOOKUP(A527,'Food Masterdata'!A:C,3,0)</f>
        <v>grams</v>
      </c>
      <c r="D527" s="7">
        <v>46114</v>
      </c>
      <c r="E527" s="7" t="s">
        <v>63</v>
      </c>
    </row>
    <row r="528" spans="1:5" x14ac:dyDescent="0.35">
      <c r="A528" t="s">
        <v>46</v>
      </c>
      <c r="B528">
        <v>5</v>
      </c>
      <c r="C528" t="str">
        <f>VLOOKUP(A528,'Food Masterdata'!A:C,3,0)</f>
        <v>egg</v>
      </c>
      <c r="D528" s="7">
        <v>46114</v>
      </c>
      <c r="E528" s="7" t="s">
        <v>63</v>
      </c>
    </row>
    <row r="529" spans="1:5" x14ac:dyDescent="0.35">
      <c r="A529" t="s">
        <v>138</v>
      </c>
      <c r="B529">
        <v>120</v>
      </c>
      <c r="C529" t="str">
        <f>VLOOKUP(A529,'Food Masterdata'!A:C,3,0)</f>
        <v>grams</v>
      </c>
      <c r="D529" s="7">
        <v>46114</v>
      </c>
      <c r="E529" s="7" t="s">
        <v>74</v>
      </c>
    </row>
    <row r="530" spans="1:5" x14ac:dyDescent="0.35">
      <c r="A530" t="s">
        <v>119</v>
      </c>
      <c r="B530">
        <v>51</v>
      </c>
      <c r="C530" t="str">
        <f>VLOOKUP(A530,'Food Masterdata'!A:C,3,0)</f>
        <v>grams</v>
      </c>
      <c r="D530" s="7">
        <v>46114</v>
      </c>
      <c r="E530" s="7" t="s">
        <v>74</v>
      </c>
    </row>
    <row r="531" spans="1:5" x14ac:dyDescent="0.35">
      <c r="A531" t="s">
        <v>137</v>
      </c>
      <c r="B531">
        <v>200</v>
      </c>
      <c r="C531" t="str">
        <f>VLOOKUP(A531,'Food Masterdata'!A:C,3,0)</f>
        <v>grams</v>
      </c>
      <c r="D531" s="7">
        <v>46114</v>
      </c>
      <c r="E531" s="7" t="s">
        <v>74</v>
      </c>
    </row>
    <row r="532" spans="1:5" x14ac:dyDescent="0.35">
      <c r="A532" t="s">
        <v>123</v>
      </c>
      <c r="B532">
        <v>151</v>
      </c>
      <c r="C532" t="str">
        <f>VLOOKUP(A532,'Food Masterdata'!A:C,3,0)</f>
        <v>grams</v>
      </c>
      <c r="D532" s="7">
        <v>46115</v>
      </c>
      <c r="E532" s="7" t="s">
        <v>54</v>
      </c>
    </row>
    <row r="533" spans="1:5" x14ac:dyDescent="0.35">
      <c r="A533" t="s">
        <v>120</v>
      </c>
      <c r="B533">
        <v>152</v>
      </c>
      <c r="C533" t="str">
        <f>VLOOKUP(A533,'Food Masterdata'!A:C,3,0)</f>
        <v>grams</v>
      </c>
      <c r="D533" s="7">
        <v>46115</v>
      </c>
      <c r="E533" s="7" t="s">
        <v>54</v>
      </c>
    </row>
    <row r="534" spans="1:5" x14ac:dyDescent="0.35">
      <c r="A534" t="s">
        <v>58</v>
      </c>
      <c r="B534">
        <v>447</v>
      </c>
      <c r="C534" t="str">
        <f>VLOOKUP(A534,'Food Masterdata'!A:C,3,0)</f>
        <v>grams</v>
      </c>
      <c r="D534" s="7">
        <v>46115</v>
      </c>
      <c r="E534" s="7" t="s">
        <v>61</v>
      </c>
    </row>
    <row r="535" spans="1:5" x14ac:dyDescent="0.35">
      <c r="A535" t="s">
        <v>60</v>
      </c>
      <c r="B535">
        <v>34</v>
      </c>
      <c r="C535" t="str">
        <f>VLOOKUP(A535,'Food Masterdata'!A:C,3,0)</f>
        <v>grams</v>
      </c>
      <c r="D535" s="7">
        <v>46115</v>
      </c>
      <c r="E535" s="7" t="s">
        <v>63</v>
      </c>
    </row>
    <row r="536" spans="1:5" x14ac:dyDescent="0.35">
      <c r="A536" t="s">
        <v>139</v>
      </c>
      <c r="B536">
        <v>150</v>
      </c>
      <c r="C536" t="str">
        <f>VLOOKUP(A536,'Food Masterdata'!A:C,3,0)</f>
        <v>grams</v>
      </c>
      <c r="D536" s="7">
        <v>46115</v>
      </c>
      <c r="E536" s="7" t="s">
        <v>63</v>
      </c>
    </row>
    <row r="537" spans="1:5" x14ac:dyDescent="0.35">
      <c r="A537" t="s">
        <v>100</v>
      </c>
      <c r="B537">
        <v>170</v>
      </c>
      <c r="C537" t="str">
        <f>VLOOKUP(A537,'Food Masterdata'!A:C,3,0)</f>
        <v>grams</v>
      </c>
      <c r="D537" s="7">
        <v>46115</v>
      </c>
      <c r="E537" s="7" t="s">
        <v>74</v>
      </c>
    </row>
    <row r="538" spans="1:5" x14ac:dyDescent="0.35">
      <c r="A538" t="s">
        <v>77</v>
      </c>
      <c r="B538">
        <v>194</v>
      </c>
      <c r="C538" t="str">
        <f>VLOOKUP(A538,'Food Masterdata'!A:C,3,0)</f>
        <v>grams</v>
      </c>
      <c r="D538" s="7">
        <v>46115</v>
      </c>
      <c r="E538" s="7" t="s">
        <v>74</v>
      </c>
    </row>
    <row r="539" spans="1:5" x14ac:dyDescent="0.35">
      <c r="A539" t="s">
        <v>69</v>
      </c>
      <c r="B539">
        <v>1</v>
      </c>
      <c r="C539" t="str">
        <f>VLOOKUP(A539,'Food Masterdata'!A:C,3,0)</f>
        <v>can</v>
      </c>
      <c r="D539" s="7">
        <v>46116</v>
      </c>
      <c r="E539" s="7" t="s">
        <v>54</v>
      </c>
    </row>
    <row r="540" spans="1:5" x14ac:dyDescent="0.35">
      <c r="A540" t="s">
        <v>120</v>
      </c>
      <c r="B540">
        <v>98</v>
      </c>
      <c r="C540" t="str">
        <f>VLOOKUP(A540,'Food Masterdata'!A:C,3,0)</f>
        <v>grams</v>
      </c>
      <c r="D540" s="7">
        <v>46116</v>
      </c>
      <c r="E540" s="7" t="s">
        <v>54</v>
      </c>
    </row>
    <row r="541" spans="1:5" x14ac:dyDescent="0.35">
      <c r="A541" t="s">
        <v>123</v>
      </c>
      <c r="B541">
        <v>146</v>
      </c>
      <c r="C541" t="str">
        <f>VLOOKUP(A541,'Food Masterdata'!A:C,3,0)</f>
        <v>grams</v>
      </c>
      <c r="D541" s="7">
        <v>46116</v>
      </c>
      <c r="E541" s="7" t="s">
        <v>54</v>
      </c>
    </row>
    <row r="542" spans="1:5" x14ac:dyDescent="0.35">
      <c r="A542" t="s">
        <v>58</v>
      </c>
      <c r="B542">
        <v>499</v>
      </c>
      <c r="C542" t="str">
        <f>VLOOKUP(A542,'Food Masterdata'!A:C,3,0)</f>
        <v>grams</v>
      </c>
      <c r="D542" s="7">
        <v>46116</v>
      </c>
      <c r="E542" s="7" t="s">
        <v>61</v>
      </c>
    </row>
    <row r="543" spans="1:5" x14ac:dyDescent="0.35">
      <c r="A543" t="s">
        <v>100</v>
      </c>
      <c r="B543">
        <v>125</v>
      </c>
      <c r="C543" t="str">
        <f>VLOOKUP(A543,'Food Masterdata'!A:C,3,0)</f>
        <v>grams</v>
      </c>
      <c r="D543" s="7">
        <v>46116</v>
      </c>
      <c r="E543" s="7" t="s">
        <v>61</v>
      </c>
    </row>
    <row r="544" spans="1:5" x14ac:dyDescent="0.35">
      <c r="A544" t="s">
        <v>77</v>
      </c>
      <c r="B544">
        <v>168</v>
      </c>
      <c r="C544" t="str">
        <f>VLOOKUP(A544,'Food Masterdata'!A:C,3,0)</f>
        <v>grams</v>
      </c>
      <c r="D544" s="7">
        <v>46116</v>
      </c>
      <c r="E544" s="7" t="s">
        <v>61</v>
      </c>
    </row>
    <row r="545" spans="1:5" x14ac:dyDescent="0.35">
      <c r="A545" t="s">
        <v>137</v>
      </c>
      <c r="B545">
        <v>200</v>
      </c>
      <c r="C545" t="str">
        <f>VLOOKUP(A545,'Food Masterdata'!A:C,3,0)</f>
        <v>grams</v>
      </c>
      <c r="D545" s="7">
        <v>46116</v>
      </c>
      <c r="E545" s="7" t="s">
        <v>63</v>
      </c>
    </row>
    <row r="546" spans="1:5" x14ac:dyDescent="0.35">
      <c r="A546" t="s">
        <v>119</v>
      </c>
      <c r="B546">
        <v>43</v>
      </c>
      <c r="C546" t="str">
        <f>VLOOKUP(A546,'Food Masterdata'!A:C,3,0)</f>
        <v>grams</v>
      </c>
      <c r="D546" s="7">
        <v>46116</v>
      </c>
      <c r="E546" s="7" t="s">
        <v>63</v>
      </c>
    </row>
    <row r="547" spans="1:5" x14ac:dyDescent="0.35">
      <c r="A547" t="s">
        <v>67</v>
      </c>
      <c r="B547">
        <v>120</v>
      </c>
      <c r="C547" t="str">
        <f>VLOOKUP(A547,'Food Masterdata'!A:C,3,0)</f>
        <v>grams</v>
      </c>
      <c r="D547" s="7">
        <v>46116</v>
      </c>
      <c r="E547" s="7" t="s">
        <v>63</v>
      </c>
    </row>
    <row r="548" spans="1:5" x14ac:dyDescent="0.35">
      <c r="A548" t="s">
        <v>46</v>
      </c>
      <c r="B548">
        <v>5</v>
      </c>
      <c r="C548" t="str">
        <f>VLOOKUP(A548,'Food Masterdata'!A:C,3,0)</f>
        <v>egg</v>
      </c>
      <c r="D548" s="7">
        <v>46116</v>
      </c>
      <c r="E548" s="7" t="s">
        <v>74</v>
      </c>
    </row>
    <row r="549" spans="1:5" x14ac:dyDescent="0.35">
      <c r="A549" t="s">
        <v>117</v>
      </c>
      <c r="B549">
        <v>30</v>
      </c>
      <c r="C549" t="str">
        <f>VLOOKUP(A549,'Food Masterdata'!A:C,3,0)</f>
        <v>grams</v>
      </c>
      <c r="D549" s="7">
        <v>46116</v>
      </c>
      <c r="E549" s="7" t="s">
        <v>74</v>
      </c>
    </row>
    <row r="550" spans="1:5" x14ac:dyDescent="0.35">
      <c r="A550" t="s">
        <v>69</v>
      </c>
      <c r="B550">
        <v>1</v>
      </c>
      <c r="C550" t="str">
        <f>VLOOKUP(A550,'Food Masterdata'!A:C,3,0)</f>
        <v>can</v>
      </c>
      <c r="D550" s="7">
        <v>46117</v>
      </c>
      <c r="E550" s="7" t="s">
        <v>54</v>
      </c>
    </row>
    <row r="551" spans="1:5" x14ac:dyDescent="0.35">
      <c r="A551" t="s">
        <v>119</v>
      </c>
      <c r="B551">
        <v>54</v>
      </c>
      <c r="C551" t="str">
        <f>VLOOKUP(A551,'Food Masterdata'!A:C,3,0)</f>
        <v>grams</v>
      </c>
      <c r="D551" s="7">
        <v>46117</v>
      </c>
      <c r="E551" s="7" t="s">
        <v>54</v>
      </c>
    </row>
    <row r="552" spans="1:5" x14ac:dyDescent="0.35">
      <c r="A552" t="s">
        <v>58</v>
      </c>
      <c r="B552">
        <v>510</v>
      </c>
      <c r="C552" t="str">
        <f>VLOOKUP(A552,'Food Masterdata'!A:C,3,0)</f>
        <v>grams</v>
      </c>
      <c r="D552" s="7">
        <v>46117</v>
      </c>
      <c r="E552" s="7" t="s">
        <v>61</v>
      </c>
    </row>
    <row r="553" spans="1:5" x14ac:dyDescent="0.35">
      <c r="A553" t="s">
        <v>100</v>
      </c>
      <c r="B553">
        <v>65</v>
      </c>
      <c r="C553" t="str">
        <f>VLOOKUP(A553,'Food Masterdata'!A:C,3,0)</f>
        <v>grams</v>
      </c>
      <c r="D553" s="7">
        <v>46117</v>
      </c>
      <c r="E553" s="7" t="s">
        <v>61</v>
      </c>
    </row>
    <row r="554" spans="1:5" x14ac:dyDescent="0.35">
      <c r="A554" t="s">
        <v>120</v>
      </c>
      <c r="B554">
        <v>201</v>
      </c>
      <c r="C554" t="str">
        <f>VLOOKUP(A554,'Food Masterdata'!A:C,3,0)</f>
        <v>grams</v>
      </c>
      <c r="D554" s="7">
        <v>46117</v>
      </c>
      <c r="E554" s="7" t="s">
        <v>63</v>
      </c>
    </row>
    <row r="555" spans="1:5" x14ac:dyDescent="0.35">
      <c r="A555" t="s">
        <v>123</v>
      </c>
      <c r="B555">
        <v>154</v>
      </c>
      <c r="C555" t="str">
        <f>VLOOKUP(A555,'Food Masterdata'!A:C,3,0)</f>
        <v>grams</v>
      </c>
      <c r="D555" s="7">
        <v>46117</v>
      </c>
      <c r="E555" s="7" t="s">
        <v>63</v>
      </c>
    </row>
    <row r="556" spans="1:5" x14ac:dyDescent="0.35">
      <c r="A556" t="s">
        <v>46</v>
      </c>
      <c r="B556">
        <v>5</v>
      </c>
      <c r="C556" t="str">
        <f>VLOOKUP(A556,'Food Masterdata'!A:C,3,0)</f>
        <v>egg</v>
      </c>
      <c r="D556" s="7">
        <v>46117</v>
      </c>
      <c r="E556" s="7" t="s">
        <v>74</v>
      </c>
    </row>
    <row r="557" spans="1:5" x14ac:dyDescent="0.35">
      <c r="A557" t="s">
        <v>69</v>
      </c>
      <c r="B557">
        <v>1</v>
      </c>
      <c r="C557" t="str">
        <f>VLOOKUP(A557,'Food Masterdata'!A:C,3,0)</f>
        <v>can</v>
      </c>
      <c r="D557" s="7">
        <v>46118</v>
      </c>
      <c r="E557" s="7" t="s">
        <v>54</v>
      </c>
    </row>
    <row r="558" spans="1:5" x14ac:dyDescent="0.35">
      <c r="A558" t="s">
        <v>25</v>
      </c>
      <c r="B558">
        <v>225</v>
      </c>
      <c r="C558" t="str">
        <f>VLOOKUP(A558,'Food Masterdata'!A:C,3,0)</f>
        <v>grams</v>
      </c>
      <c r="D558" s="7">
        <v>46118</v>
      </c>
      <c r="E558" s="7" t="s">
        <v>54</v>
      </c>
    </row>
    <row r="559" spans="1:5" x14ac:dyDescent="0.35">
      <c r="A559" t="s">
        <v>43</v>
      </c>
      <c r="B559">
        <v>170</v>
      </c>
      <c r="C559" t="str">
        <f>VLOOKUP(A559,'Food Masterdata'!A:C,3,0)</f>
        <v>grams</v>
      </c>
      <c r="D559" s="7">
        <v>46118</v>
      </c>
      <c r="E559" s="7" t="s">
        <v>54</v>
      </c>
    </row>
    <row r="560" spans="1:5" x14ac:dyDescent="0.35">
      <c r="A560" t="s">
        <v>71</v>
      </c>
      <c r="B560">
        <v>15</v>
      </c>
      <c r="C560" t="str">
        <f>VLOOKUP(A560,'Food Masterdata'!A:C,3,0)</f>
        <v>grams</v>
      </c>
      <c r="D560" s="7">
        <v>46118</v>
      </c>
      <c r="E560" s="7" t="s">
        <v>54</v>
      </c>
    </row>
    <row r="561" spans="1:5" x14ac:dyDescent="0.35">
      <c r="A561" t="s">
        <v>123</v>
      </c>
      <c r="B561">
        <v>177</v>
      </c>
      <c r="C561" t="str">
        <f>VLOOKUP(A561,'Food Masterdata'!A:C,3,0)</f>
        <v>grams</v>
      </c>
      <c r="D561" s="7">
        <v>46118</v>
      </c>
      <c r="E561" s="7" t="s">
        <v>54</v>
      </c>
    </row>
    <row r="562" spans="1:5" x14ac:dyDescent="0.35">
      <c r="A562" t="s">
        <v>120</v>
      </c>
      <c r="B562">
        <v>169</v>
      </c>
      <c r="C562" t="str">
        <f>VLOOKUP(A562,'Food Masterdata'!A:C,3,0)</f>
        <v>grams</v>
      </c>
      <c r="D562" s="7">
        <v>46118</v>
      </c>
      <c r="E562" s="7" t="s">
        <v>61</v>
      </c>
    </row>
    <row r="563" spans="1:5" x14ac:dyDescent="0.35">
      <c r="A563" t="s">
        <v>117</v>
      </c>
      <c r="B563">
        <v>45</v>
      </c>
      <c r="C563" t="str">
        <f>VLOOKUP(A563,'Food Masterdata'!A:C,3,0)</f>
        <v>grams</v>
      </c>
      <c r="D563" s="7">
        <v>46118</v>
      </c>
      <c r="E563" s="7" t="s">
        <v>61</v>
      </c>
    </row>
    <row r="564" spans="1:5" x14ac:dyDescent="0.35">
      <c r="A564" t="s">
        <v>25</v>
      </c>
      <c r="B564">
        <v>225</v>
      </c>
      <c r="C564" t="str">
        <f>VLOOKUP(A564,'Food Masterdata'!A:C,3,0)</f>
        <v>grams</v>
      </c>
      <c r="D564" s="7">
        <v>46119</v>
      </c>
      <c r="E564" s="7" t="s">
        <v>54</v>
      </c>
    </row>
    <row r="565" spans="1:5" x14ac:dyDescent="0.35">
      <c r="A565" t="s">
        <v>43</v>
      </c>
      <c r="B565">
        <v>170</v>
      </c>
      <c r="C565" t="str">
        <f>VLOOKUP(A565,'Food Masterdata'!A:C,3,0)</f>
        <v>grams</v>
      </c>
      <c r="D565" s="7">
        <v>46119</v>
      </c>
      <c r="E565" s="7" t="s">
        <v>54</v>
      </c>
    </row>
    <row r="566" spans="1:5" x14ac:dyDescent="0.35">
      <c r="A566" t="s">
        <v>123</v>
      </c>
      <c r="B566">
        <v>131</v>
      </c>
      <c r="C566" t="str">
        <f>VLOOKUP(A566,'Food Masterdata'!A:C,3,0)</f>
        <v>grams</v>
      </c>
      <c r="D566" s="7">
        <v>46119</v>
      </c>
      <c r="E566" s="7" t="s">
        <v>54</v>
      </c>
    </row>
    <row r="567" spans="1:5" x14ac:dyDescent="0.35">
      <c r="A567" t="s">
        <v>100</v>
      </c>
      <c r="B567">
        <v>186</v>
      </c>
      <c r="C567" t="str">
        <f>VLOOKUP(A567,'Food Masterdata'!A:C,3,0)</f>
        <v>grams</v>
      </c>
      <c r="D567" s="7">
        <v>46119</v>
      </c>
      <c r="E567" s="7" t="s">
        <v>61</v>
      </c>
    </row>
    <row r="568" spans="1:5" x14ac:dyDescent="0.35">
      <c r="A568" t="s">
        <v>77</v>
      </c>
      <c r="B568">
        <v>94</v>
      </c>
      <c r="C568" t="str">
        <f>VLOOKUP(A568,'Food Masterdata'!A:C,3,0)</f>
        <v>grams</v>
      </c>
      <c r="D568" s="7">
        <v>46119</v>
      </c>
      <c r="E568" s="7" t="s">
        <v>61</v>
      </c>
    </row>
    <row r="569" spans="1:5" x14ac:dyDescent="0.35">
      <c r="A569" t="s">
        <v>62</v>
      </c>
      <c r="B569">
        <v>7</v>
      </c>
      <c r="C569" t="str">
        <f>VLOOKUP(A569,'Food Masterdata'!A:C,3,0)</f>
        <v>grams</v>
      </c>
      <c r="D569" s="7">
        <v>46119</v>
      </c>
      <c r="E569" s="7" t="s">
        <v>61</v>
      </c>
    </row>
    <row r="570" spans="1:5" x14ac:dyDescent="0.35">
      <c r="A570" t="s">
        <v>121</v>
      </c>
      <c r="B570">
        <v>29</v>
      </c>
      <c r="C570" t="str">
        <f>VLOOKUP(A570,'Food Masterdata'!A:C,3,0)</f>
        <v>grams</v>
      </c>
      <c r="D570" s="7">
        <v>46119</v>
      </c>
      <c r="E570" s="7" t="s">
        <v>61</v>
      </c>
    </row>
    <row r="571" spans="1:5" x14ac:dyDescent="0.35">
      <c r="A571" t="s">
        <v>128</v>
      </c>
      <c r="B571">
        <v>100</v>
      </c>
      <c r="C571" t="str">
        <f>VLOOKUP(A571,'Food Masterdata'!A:C,3,0)</f>
        <v>grams</v>
      </c>
      <c r="D571" s="7">
        <v>46119</v>
      </c>
      <c r="E571" s="7" t="s">
        <v>63</v>
      </c>
    </row>
    <row r="572" spans="1:5" x14ac:dyDescent="0.35">
      <c r="A572" t="s">
        <v>122</v>
      </c>
      <c r="B572">
        <v>420</v>
      </c>
      <c r="C572" t="str">
        <f>VLOOKUP(A572,'Food Masterdata'!A:C,3,0)</f>
        <v>grams</v>
      </c>
      <c r="D572" s="7">
        <v>46119</v>
      </c>
      <c r="E572" s="7" t="s">
        <v>63</v>
      </c>
    </row>
    <row r="573" spans="1:5" x14ac:dyDescent="0.35">
      <c r="A573" t="s">
        <v>120</v>
      </c>
      <c r="B573">
        <v>155</v>
      </c>
      <c r="C573" t="str">
        <f>VLOOKUP(A573,'Food Masterdata'!A:C,3,0)</f>
        <v>grams</v>
      </c>
      <c r="D573" s="7">
        <v>46120</v>
      </c>
      <c r="E573" s="7" t="s">
        <v>54</v>
      </c>
    </row>
    <row r="574" spans="1:5" x14ac:dyDescent="0.35">
      <c r="A574" t="s">
        <v>100</v>
      </c>
      <c r="B574">
        <v>200</v>
      </c>
      <c r="C574" t="str">
        <f>VLOOKUP(A574,'Food Masterdata'!A:C,3,0)</f>
        <v>grams</v>
      </c>
      <c r="D574" s="7">
        <v>46120</v>
      </c>
      <c r="E574" s="7" t="s">
        <v>54</v>
      </c>
    </row>
  </sheetData>
  <autoFilter ref="A1:E367" xr:uid="{25094F61-D9A9-4DE8-9564-2FE8A321B357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AB482B-F3C0-4F61-9B99-4B5407956637}">
          <x14:formula1>
            <xm:f>'Food Masterdata'!$A$2:$A$1048576</xm:f>
          </x14:formula1>
          <xm:sqref>A2:A142 A144:A157 A159:A255 A259:A261 A263:A267 A270:A1048576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Food Masterdata</vt:lpstr>
      <vt:lpstr>Eaten 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Szkodzin</dc:creator>
  <cp:lastModifiedBy>Kacper Szkodziński (196002)</cp:lastModifiedBy>
  <dcterms:created xsi:type="dcterms:W3CDTF">2015-06-05T18:17:20Z</dcterms:created>
  <dcterms:modified xsi:type="dcterms:W3CDTF">2026-04-08T07:31:05Z</dcterms:modified>
</cp:coreProperties>
</file>